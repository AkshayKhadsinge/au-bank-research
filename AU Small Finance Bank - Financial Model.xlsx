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218909a2230e6c3/Desktop/Projects/"/>
    </mc:Choice>
  </mc:AlternateContent>
  <xr:revisionPtr revIDLastSave="18" documentId="11_F25DC773A252ABDACC104874911F69165ADE58F3" xr6:coauthVersionLast="47" xr6:coauthVersionMax="47" xr10:uidLastSave="{0C34EECD-0584-446B-9CF0-C165F158D69F}"/>
  <bookViews>
    <workbookView xWindow="-108" yWindow="-108" windowWidth="23256" windowHeight="12456" xr2:uid="{00000000-000D-0000-FFFF-FFFF00000000}"/>
  </bookViews>
  <sheets>
    <sheet name="Read Me" sheetId="12" r:id="rId1"/>
    <sheet name="Inputs" sheetId="13" r:id="rId2"/>
    <sheet name="Model" sheetId="14" r:id="rId3"/>
    <sheet name="Valuation" sheetId="15" r:id="rId4"/>
    <sheet name="Hist" sheetId="17" r:id="rId5"/>
    <sheet name="Peers" sheetId="18" r:id="rId6"/>
    <sheet name="Beta" sheetId="19" r:id="rId7"/>
    <sheet name="Checks" sheetId="20" r:id="rId8"/>
    <sheet name="DataDict" sheetId="21" r:id="rId9"/>
    <sheet name="Sources" sheetId="22" r:id="rId10"/>
  </sheets>
  <definedNames>
    <definedName name="_xlnm._FilterDatabase" localSheetId="9" hidden="1">Sources!$A$3:$H$22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9" i="13" l="1"/>
  <c r="F139" i="13"/>
  <c r="E139" i="13"/>
  <c r="D139" i="13"/>
  <c r="C139" i="13"/>
  <c r="G64" i="13"/>
  <c r="F64" i="13"/>
  <c r="E64" i="13"/>
  <c r="D64" i="13"/>
  <c r="C64" i="13"/>
  <c r="G59" i="13"/>
  <c r="F59" i="13"/>
  <c r="E59" i="13"/>
  <c r="D59" i="13"/>
  <c r="C59" i="13"/>
  <c r="G54" i="13"/>
  <c r="F54" i="13"/>
  <c r="E54" i="13"/>
  <c r="D54" i="13"/>
  <c r="C54" i="13"/>
  <c r="G49" i="13"/>
  <c r="F49" i="13"/>
  <c r="E49" i="13"/>
  <c r="D49" i="13"/>
  <c r="C49" i="13"/>
  <c r="G44" i="13"/>
  <c r="F44" i="13"/>
  <c r="E44" i="13"/>
  <c r="D44" i="13"/>
  <c r="C44" i="13"/>
  <c r="D15" i="15"/>
  <c r="E15" i="15" s="1"/>
  <c r="F15" i="15" s="1"/>
  <c r="G15" i="15" s="1"/>
  <c r="H15" i="15" s="1"/>
  <c r="C15" i="15"/>
  <c r="C11" i="20"/>
  <c r="C10" i="20"/>
  <c r="C9" i="20"/>
  <c r="C8" i="20"/>
  <c r="C7" i="20"/>
  <c r="C6" i="20"/>
  <c r="C5" i="20"/>
  <c r="C4" i="20"/>
  <c r="E108" i="19"/>
  <c r="D108" i="19"/>
  <c r="E107" i="19"/>
  <c r="D107" i="19"/>
  <c r="E106" i="19"/>
  <c r="D106" i="19"/>
  <c r="E105" i="19"/>
  <c r="D105" i="19"/>
  <c r="E104" i="19"/>
  <c r="D104" i="19"/>
  <c r="E103" i="19"/>
  <c r="D103" i="19"/>
  <c r="E102" i="19"/>
  <c r="D102" i="19"/>
  <c r="E101" i="19"/>
  <c r="D101" i="19"/>
  <c r="E100" i="19"/>
  <c r="D100" i="19"/>
  <c r="E99" i="19"/>
  <c r="D99" i="19"/>
  <c r="E98" i="19"/>
  <c r="D98" i="19"/>
  <c r="E97" i="19"/>
  <c r="D97" i="19"/>
  <c r="E96" i="19"/>
  <c r="D96" i="19"/>
  <c r="E95" i="19"/>
  <c r="D95" i="19"/>
  <c r="E94" i="19"/>
  <c r="D94" i="19"/>
  <c r="E93" i="19"/>
  <c r="D93" i="19"/>
  <c r="E92" i="19"/>
  <c r="D92" i="19"/>
  <c r="E91" i="19"/>
  <c r="D91" i="19"/>
  <c r="E90" i="19"/>
  <c r="D90" i="19"/>
  <c r="E89" i="19"/>
  <c r="D89" i="19"/>
  <c r="E88" i="19"/>
  <c r="D88" i="19"/>
  <c r="E87" i="19"/>
  <c r="D87" i="19"/>
  <c r="E86" i="19"/>
  <c r="D86" i="19"/>
  <c r="E85" i="19"/>
  <c r="D85" i="19"/>
  <c r="E84" i="19"/>
  <c r="D84" i="19"/>
  <c r="E83" i="19"/>
  <c r="D83" i="19"/>
  <c r="E82" i="19"/>
  <c r="D82" i="19"/>
  <c r="E81" i="19"/>
  <c r="D81" i="19"/>
  <c r="E80" i="19"/>
  <c r="D80" i="19"/>
  <c r="E79" i="19"/>
  <c r="D79" i="19"/>
  <c r="E78" i="19"/>
  <c r="D78" i="19"/>
  <c r="E77" i="19"/>
  <c r="D77" i="19"/>
  <c r="E76" i="19"/>
  <c r="D76" i="19"/>
  <c r="E75" i="19"/>
  <c r="D75" i="19"/>
  <c r="E74" i="19"/>
  <c r="D74" i="19"/>
  <c r="E73" i="19"/>
  <c r="D73" i="19"/>
  <c r="E72" i="19"/>
  <c r="D72" i="19"/>
  <c r="E71" i="19"/>
  <c r="D71" i="19"/>
  <c r="E70" i="19"/>
  <c r="D70" i="19"/>
  <c r="E69" i="19"/>
  <c r="D69" i="19"/>
  <c r="E68" i="19"/>
  <c r="D68" i="19"/>
  <c r="E67" i="19"/>
  <c r="D67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60" i="19"/>
  <c r="D60" i="19"/>
  <c r="E59" i="19"/>
  <c r="D59" i="19"/>
  <c r="E58" i="19"/>
  <c r="D58" i="19"/>
  <c r="E57" i="19"/>
  <c r="D57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9" i="19"/>
  <c r="D49" i="19"/>
  <c r="E48" i="19"/>
  <c r="D48" i="19"/>
  <c r="E47" i="19"/>
  <c r="D47" i="19"/>
  <c r="E46" i="19"/>
  <c r="D46" i="19"/>
  <c r="E45" i="19"/>
  <c r="D45" i="19"/>
  <c r="E44" i="19"/>
  <c r="D44" i="19"/>
  <c r="E43" i="19"/>
  <c r="D43" i="19"/>
  <c r="E42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F5" i="19"/>
  <c r="E5" i="19"/>
  <c r="D5" i="19"/>
  <c r="F4" i="19"/>
  <c r="N20" i="18"/>
  <c r="M20" i="18"/>
  <c r="R17" i="18"/>
  <c r="Q17" i="18"/>
  <c r="P17" i="18"/>
  <c r="O17" i="18"/>
  <c r="N17" i="18"/>
  <c r="M17" i="18"/>
  <c r="L17" i="18"/>
  <c r="H17" i="18"/>
  <c r="G17" i="18"/>
  <c r="E17" i="18"/>
  <c r="F17" i="18" s="1"/>
  <c r="I17" i="18" s="1"/>
  <c r="R16" i="18"/>
  <c r="Q16" i="18"/>
  <c r="P16" i="18"/>
  <c r="O16" i="18"/>
  <c r="N16" i="18"/>
  <c r="M16" i="18"/>
  <c r="L16" i="18"/>
  <c r="H16" i="18"/>
  <c r="G16" i="18"/>
  <c r="E16" i="18"/>
  <c r="F16" i="18" s="1"/>
  <c r="I16" i="18" s="1"/>
  <c r="R15" i="18"/>
  <c r="Q15" i="18"/>
  <c r="P15" i="18"/>
  <c r="O15" i="18"/>
  <c r="N15" i="18"/>
  <c r="M15" i="18"/>
  <c r="L15" i="18"/>
  <c r="H15" i="18"/>
  <c r="G15" i="18"/>
  <c r="E15" i="18"/>
  <c r="F15" i="18" s="1"/>
  <c r="I15" i="18" s="1"/>
  <c r="R14" i="18"/>
  <c r="Q14" i="18"/>
  <c r="P14" i="18"/>
  <c r="O14" i="18"/>
  <c r="N14" i="18"/>
  <c r="M14" i="18"/>
  <c r="L14" i="18"/>
  <c r="H14" i="18"/>
  <c r="G14" i="18"/>
  <c r="E14" i="18"/>
  <c r="F14" i="18" s="1"/>
  <c r="I14" i="18" s="1"/>
  <c r="R13" i="18"/>
  <c r="Q13" i="18"/>
  <c r="P13" i="18"/>
  <c r="O13" i="18"/>
  <c r="N13" i="18"/>
  <c r="M13" i="18"/>
  <c r="L13" i="18"/>
  <c r="H13" i="18"/>
  <c r="G13" i="18"/>
  <c r="E13" i="18"/>
  <c r="F13" i="18" s="1"/>
  <c r="I13" i="18" s="1"/>
  <c r="I21" i="18" s="1"/>
  <c r="B58" i="15" s="1"/>
  <c r="R12" i="18"/>
  <c r="R20" i="18" s="1"/>
  <c r="Q12" i="18"/>
  <c r="Q20" i="18" s="1"/>
  <c r="P12" i="18"/>
  <c r="P20" i="18" s="1"/>
  <c r="O12" i="18"/>
  <c r="O20" i="18" s="1"/>
  <c r="N12" i="18"/>
  <c r="M12" i="18"/>
  <c r="L12" i="18"/>
  <c r="L20" i="18" s="1"/>
  <c r="H12" i="18"/>
  <c r="G12" i="18"/>
  <c r="E12" i="18"/>
  <c r="F12" i="18" s="1"/>
  <c r="I12" i="18" s="1"/>
  <c r="R11" i="18"/>
  <c r="Q11" i="18"/>
  <c r="P11" i="18"/>
  <c r="O11" i="18"/>
  <c r="N11" i="18"/>
  <c r="M11" i="18"/>
  <c r="L11" i="18"/>
  <c r="H11" i="18"/>
  <c r="G11" i="18"/>
  <c r="E11" i="18"/>
  <c r="F11" i="18" s="1"/>
  <c r="I11" i="18" s="1"/>
  <c r="R10" i="18"/>
  <c r="Q10" i="18"/>
  <c r="P10" i="18"/>
  <c r="O10" i="18"/>
  <c r="N10" i="18"/>
  <c r="M10" i="18"/>
  <c r="L10" i="18"/>
  <c r="H10" i="18"/>
  <c r="G10" i="18"/>
  <c r="E10" i="18"/>
  <c r="F10" i="18" s="1"/>
  <c r="I10" i="18" s="1"/>
  <c r="R9" i="18"/>
  <c r="Q9" i="18"/>
  <c r="P9" i="18"/>
  <c r="O9" i="18"/>
  <c r="N9" i="18"/>
  <c r="M9" i="18"/>
  <c r="L9" i="18"/>
  <c r="H9" i="18"/>
  <c r="G9" i="18"/>
  <c r="E9" i="18"/>
  <c r="F9" i="18" s="1"/>
  <c r="I9" i="18" s="1"/>
  <c r="R8" i="18"/>
  <c r="Q8" i="18"/>
  <c r="P8" i="18"/>
  <c r="O8" i="18"/>
  <c r="N8" i="18"/>
  <c r="M8" i="18"/>
  <c r="L8" i="18"/>
  <c r="H8" i="18"/>
  <c r="G8" i="18"/>
  <c r="E8" i="18"/>
  <c r="F8" i="18" s="1"/>
  <c r="I8" i="18" s="1"/>
  <c r="R7" i="18"/>
  <c r="Q7" i="18"/>
  <c r="P7" i="18"/>
  <c r="O7" i="18"/>
  <c r="N7" i="18"/>
  <c r="M7" i="18"/>
  <c r="L7" i="18"/>
  <c r="H7" i="18"/>
  <c r="G7" i="18"/>
  <c r="E7" i="18"/>
  <c r="F7" i="18" s="1"/>
  <c r="I7" i="18" s="1"/>
  <c r="R6" i="18"/>
  <c r="Q6" i="18"/>
  <c r="P6" i="18"/>
  <c r="O6" i="18"/>
  <c r="N6" i="18"/>
  <c r="M6" i="18"/>
  <c r="L6" i="18"/>
  <c r="H6" i="18"/>
  <c r="G6" i="18"/>
  <c r="E6" i="18"/>
  <c r="F6" i="18" s="1"/>
  <c r="I6" i="18" s="1"/>
  <c r="R5" i="18"/>
  <c r="Q5" i="18"/>
  <c r="P5" i="18"/>
  <c r="O5" i="18"/>
  <c r="N5" i="18"/>
  <c r="M5" i="18"/>
  <c r="L5" i="18"/>
  <c r="H5" i="18"/>
  <c r="G5" i="18"/>
  <c r="E5" i="18"/>
  <c r="F5" i="18" s="1"/>
  <c r="I5" i="18" s="1"/>
  <c r="C31" i="18" s="1"/>
  <c r="H84" i="17"/>
  <c r="G84" i="17"/>
  <c r="F84" i="17"/>
  <c r="E84" i="17"/>
  <c r="D84" i="17"/>
  <c r="C84" i="17"/>
  <c r="H80" i="17"/>
  <c r="G80" i="17"/>
  <c r="F80" i="17"/>
  <c r="E80" i="17"/>
  <c r="D80" i="17"/>
  <c r="C80" i="17"/>
  <c r="H75" i="17"/>
  <c r="G75" i="17"/>
  <c r="F75" i="17"/>
  <c r="E75" i="17"/>
  <c r="D75" i="17"/>
  <c r="C75" i="17"/>
  <c r="H71" i="17"/>
  <c r="G71" i="17"/>
  <c r="F71" i="17"/>
  <c r="E71" i="17"/>
  <c r="D71" i="17"/>
  <c r="H67" i="17"/>
  <c r="G67" i="17"/>
  <c r="F67" i="17"/>
  <c r="E67" i="17"/>
  <c r="D67" i="17"/>
  <c r="H66" i="17"/>
  <c r="G66" i="17"/>
  <c r="F66" i="17"/>
  <c r="E66" i="17"/>
  <c r="D66" i="17"/>
  <c r="H65" i="17"/>
  <c r="G65" i="17"/>
  <c r="F65" i="17"/>
  <c r="E65" i="17"/>
  <c r="D65" i="17"/>
  <c r="H64" i="17"/>
  <c r="G64" i="17"/>
  <c r="F64" i="17"/>
  <c r="E64" i="17"/>
  <c r="D64" i="17"/>
  <c r="H59" i="17"/>
  <c r="G59" i="17"/>
  <c r="F59" i="17"/>
  <c r="E59" i="17"/>
  <c r="D59" i="17"/>
  <c r="H58" i="17"/>
  <c r="G58" i="17"/>
  <c r="F58" i="17"/>
  <c r="E58" i="17"/>
  <c r="D58" i="17"/>
  <c r="B9" i="20" s="1"/>
  <c r="H39" i="17"/>
  <c r="G39" i="17"/>
  <c r="F39" i="17"/>
  <c r="E39" i="17"/>
  <c r="D39" i="17"/>
  <c r="C39" i="17"/>
  <c r="H35" i="17"/>
  <c r="G35" i="17"/>
  <c r="F35" i="17"/>
  <c r="E35" i="17"/>
  <c r="D35" i="17"/>
  <c r="C35" i="17"/>
  <c r="H17" i="17"/>
  <c r="G17" i="17"/>
  <c r="F17" i="17"/>
  <c r="E17" i="17"/>
  <c r="D17" i="17"/>
  <c r="C17" i="17"/>
  <c r="H10" i="17"/>
  <c r="H12" i="17" s="1"/>
  <c r="G10" i="17"/>
  <c r="G12" i="17" s="1"/>
  <c r="F10" i="17"/>
  <c r="F12" i="17" s="1"/>
  <c r="E10" i="17"/>
  <c r="E12" i="17" s="1"/>
  <c r="D10" i="17"/>
  <c r="D12" i="17" s="1"/>
  <c r="C10" i="17"/>
  <c r="B44" i="15"/>
  <c r="B11" i="15"/>
  <c r="B52" i="15" s="1"/>
  <c r="E112" i="14"/>
  <c r="D112" i="14"/>
  <c r="C112" i="14"/>
  <c r="E111" i="14"/>
  <c r="D111" i="14"/>
  <c r="C111" i="14"/>
  <c r="E103" i="14"/>
  <c r="D103" i="14"/>
  <c r="C103" i="14"/>
  <c r="E102" i="14"/>
  <c r="D102" i="14"/>
  <c r="C102" i="14"/>
  <c r="E101" i="14"/>
  <c r="D101" i="14"/>
  <c r="C101" i="14"/>
  <c r="J96" i="14"/>
  <c r="I96" i="14"/>
  <c r="H96" i="14"/>
  <c r="G96" i="14"/>
  <c r="F96" i="14"/>
  <c r="E93" i="14"/>
  <c r="E94" i="14" s="1"/>
  <c r="H179" i="13" s="1"/>
  <c r="D93" i="14"/>
  <c r="D94" i="14" s="1"/>
  <c r="C93" i="14"/>
  <c r="C94" i="14" s="1"/>
  <c r="E92" i="14"/>
  <c r="D92" i="14"/>
  <c r="C92" i="14"/>
  <c r="E90" i="14"/>
  <c r="E98" i="14" s="1"/>
  <c r="D90" i="14"/>
  <c r="D98" i="14" s="1"/>
  <c r="C90" i="14"/>
  <c r="C98" i="14" s="1"/>
  <c r="E85" i="14"/>
  <c r="D85" i="14"/>
  <c r="C85" i="14"/>
  <c r="E83" i="14"/>
  <c r="D83" i="14"/>
  <c r="C83" i="14"/>
  <c r="E82" i="14"/>
  <c r="D82" i="14"/>
  <c r="C82" i="14"/>
  <c r="E81" i="14"/>
  <c r="D81" i="14"/>
  <c r="C81" i="14"/>
  <c r="F76" i="14"/>
  <c r="E69" i="14"/>
  <c r="D69" i="14"/>
  <c r="C69" i="14"/>
  <c r="E66" i="14"/>
  <c r="D66" i="14"/>
  <c r="C66" i="14"/>
  <c r="E62" i="14"/>
  <c r="D62" i="14"/>
  <c r="C62" i="14"/>
  <c r="E57" i="14"/>
  <c r="E58" i="14" s="1"/>
  <c r="H124" i="13" s="1"/>
  <c r="D57" i="14"/>
  <c r="D58" i="14" s="1"/>
  <c r="C57" i="14"/>
  <c r="E52" i="14"/>
  <c r="D52" i="14"/>
  <c r="C52" i="14"/>
  <c r="E51" i="14"/>
  <c r="E55" i="14" s="1"/>
  <c r="H114" i="13" s="1"/>
  <c r="D51" i="14"/>
  <c r="D55" i="14" s="1"/>
  <c r="C51" i="14"/>
  <c r="E50" i="14"/>
  <c r="D50" i="14"/>
  <c r="C50" i="14"/>
  <c r="C53" i="14" s="1"/>
  <c r="C59" i="14" s="1"/>
  <c r="E42" i="14"/>
  <c r="D42" i="14"/>
  <c r="C42" i="14"/>
  <c r="E41" i="14"/>
  <c r="D41" i="14"/>
  <c r="C41" i="14"/>
  <c r="E40" i="14"/>
  <c r="D40" i="14"/>
  <c r="C40" i="14"/>
  <c r="E38" i="14"/>
  <c r="D38" i="14"/>
  <c r="C38" i="14"/>
  <c r="E37" i="14"/>
  <c r="E39" i="14" s="1"/>
  <c r="E47" i="14" s="1"/>
  <c r="D37" i="14"/>
  <c r="D39" i="14" s="1"/>
  <c r="D47" i="14" s="1"/>
  <c r="C37" i="14"/>
  <c r="C39" i="14" s="1"/>
  <c r="C47" i="14" s="1"/>
  <c r="E32" i="14"/>
  <c r="H94" i="13" s="1"/>
  <c r="D32" i="14"/>
  <c r="C32" i="14"/>
  <c r="E31" i="14"/>
  <c r="H89" i="13" s="1"/>
  <c r="D31" i="14"/>
  <c r="C31" i="14"/>
  <c r="E27" i="14"/>
  <c r="E28" i="14" s="1"/>
  <c r="H79" i="13" s="1"/>
  <c r="C27" i="14"/>
  <c r="C28" i="14" s="1"/>
  <c r="E25" i="14"/>
  <c r="D25" i="14"/>
  <c r="C25" i="14"/>
  <c r="E21" i="14"/>
  <c r="D21" i="14"/>
  <c r="C21" i="14"/>
  <c r="E18" i="14"/>
  <c r="D18" i="14"/>
  <c r="C18" i="14"/>
  <c r="C20" i="14" s="1"/>
  <c r="H194" i="13"/>
  <c r="H189" i="13"/>
  <c r="H149" i="13"/>
  <c r="H64" i="13"/>
  <c r="H59" i="13"/>
  <c r="H54" i="13"/>
  <c r="H49" i="13"/>
  <c r="H44" i="13"/>
  <c r="C10" i="13"/>
  <c r="C9" i="13"/>
  <c r="C11" i="13" s="1"/>
  <c r="B10" i="15" s="1"/>
  <c r="C7" i="13"/>
  <c r="B9" i="15" s="1"/>
  <c r="F1" i="14" l="1"/>
  <c r="G194" i="13"/>
  <c r="F194" i="13"/>
  <c r="E194" i="13"/>
  <c r="D194" i="13"/>
  <c r="C194" i="13"/>
  <c r="G189" i="13"/>
  <c r="F189" i="13"/>
  <c r="E189" i="13"/>
  <c r="D189" i="13"/>
  <c r="C189" i="13"/>
  <c r="G184" i="13"/>
  <c r="J91" i="14" s="1"/>
  <c r="F184" i="13"/>
  <c r="I91" i="14" s="1"/>
  <c r="E184" i="13"/>
  <c r="H91" i="14" s="1"/>
  <c r="D184" i="13"/>
  <c r="G91" i="14" s="1"/>
  <c r="C184" i="13"/>
  <c r="F91" i="14" s="1"/>
  <c r="G179" i="13"/>
  <c r="J94" i="14" s="1"/>
  <c r="F179" i="13"/>
  <c r="I94" i="14" s="1"/>
  <c r="E179" i="13"/>
  <c r="H94" i="14" s="1"/>
  <c r="D179" i="13"/>
  <c r="G94" i="14" s="1"/>
  <c r="C179" i="13"/>
  <c r="F94" i="14" s="1"/>
  <c r="G174" i="13"/>
  <c r="J88" i="14" s="1"/>
  <c r="F174" i="13"/>
  <c r="I88" i="14" s="1"/>
  <c r="E174" i="13"/>
  <c r="H88" i="14" s="1"/>
  <c r="D174" i="13"/>
  <c r="G88" i="14" s="1"/>
  <c r="C174" i="13"/>
  <c r="F88" i="14" s="1"/>
  <c r="G169" i="13"/>
  <c r="F169" i="13"/>
  <c r="E169" i="13"/>
  <c r="D169" i="13"/>
  <c r="C169" i="13"/>
  <c r="G164" i="13"/>
  <c r="J78" i="14" s="1"/>
  <c r="F164" i="13"/>
  <c r="I78" i="14" s="1"/>
  <c r="E164" i="13"/>
  <c r="H78" i="14" s="1"/>
  <c r="D164" i="13"/>
  <c r="G78" i="14" s="1"/>
  <c r="C164" i="13"/>
  <c r="F78" i="14" s="1"/>
  <c r="G159" i="13"/>
  <c r="E159" i="13"/>
  <c r="D159" i="13"/>
  <c r="C159" i="13"/>
  <c r="G154" i="13"/>
  <c r="J77" i="14" s="1"/>
  <c r="F154" i="13"/>
  <c r="I77" i="14" s="1"/>
  <c r="E154" i="13"/>
  <c r="H77" i="14" s="1"/>
  <c r="D154" i="13"/>
  <c r="G77" i="14" s="1"/>
  <c r="C154" i="13"/>
  <c r="F77" i="14" s="1"/>
  <c r="G149" i="13"/>
  <c r="J75" i="14" s="1"/>
  <c r="F149" i="13"/>
  <c r="I75" i="14" s="1"/>
  <c r="E149" i="13"/>
  <c r="H75" i="14" s="1"/>
  <c r="D149" i="13"/>
  <c r="G75" i="14" s="1"/>
  <c r="C149" i="13"/>
  <c r="F75" i="14" s="1"/>
  <c r="G144" i="13"/>
  <c r="J67" i="14" s="1"/>
  <c r="F144" i="13"/>
  <c r="I67" i="14" s="1"/>
  <c r="E144" i="13"/>
  <c r="H67" i="14" s="1"/>
  <c r="D144" i="13"/>
  <c r="G67" i="14" s="1"/>
  <c r="C144" i="13"/>
  <c r="F67" i="14" s="1"/>
  <c r="J63" i="14"/>
  <c r="I63" i="14"/>
  <c r="H63" i="14"/>
  <c r="G63" i="14"/>
  <c r="F63" i="14"/>
  <c r="G134" i="13"/>
  <c r="J61" i="14" s="1"/>
  <c r="F134" i="13"/>
  <c r="I61" i="14" s="1"/>
  <c r="E134" i="13"/>
  <c r="H61" i="14" s="1"/>
  <c r="D134" i="13"/>
  <c r="G61" i="14" s="1"/>
  <c r="C134" i="13"/>
  <c r="F61" i="14" s="1"/>
  <c r="G129" i="13"/>
  <c r="J60" i="14" s="1"/>
  <c r="F129" i="13"/>
  <c r="I60" i="14" s="1"/>
  <c r="E129" i="13"/>
  <c r="H60" i="14" s="1"/>
  <c r="D129" i="13"/>
  <c r="G60" i="14" s="1"/>
  <c r="C129" i="13"/>
  <c r="F60" i="14" s="1"/>
  <c r="F124" i="13"/>
  <c r="I58" i="14" s="1"/>
  <c r="E124" i="13"/>
  <c r="H58" i="14" s="1"/>
  <c r="D124" i="13"/>
  <c r="G58" i="14" s="1"/>
  <c r="C124" i="13"/>
  <c r="F58" i="14" s="1"/>
  <c r="G119" i="13"/>
  <c r="J56" i="14" s="1"/>
  <c r="F119" i="13"/>
  <c r="I56" i="14" s="1"/>
  <c r="E119" i="13"/>
  <c r="H56" i="14" s="1"/>
  <c r="D119" i="13"/>
  <c r="G56" i="14" s="1"/>
  <c r="C119" i="13"/>
  <c r="F56" i="14" s="1"/>
  <c r="F52" i="14" s="1"/>
  <c r="G114" i="13"/>
  <c r="J55" i="14" s="1"/>
  <c r="F114" i="13"/>
  <c r="I55" i="14" s="1"/>
  <c r="E114" i="13"/>
  <c r="H55" i="14" s="1"/>
  <c r="C114" i="13"/>
  <c r="F55" i="14" s="1"/>
  <c r="F109" i="13"/>
  <c r="I54" i="14" s="1"/>
  <c r="G104" i="13"/>
  <c r="E104" i="13"/>
  <c r="C104" i="13"/>
  <c r="F41" i="14" s="1"/>
  <c r="G74" i="13"/>
  <c r="J26" i="14" s="1"/>
  <c r="E74" i="13"/>
  <c r="H26" i="14" s="1"/>
  <c r="C74" i="13"/>
  <c r="F26" i="14" s="1"/>
  <c r="F69" i="13"/>
  <c r="I20" i="14" s="1"/>
  <c r="D69" i="13"/>
  <c r="G20" i="14" s="1"/>
  <c r="F16" i="14"/>
  <c r="F13" i="14"/>
  <c r="F22" i="13"/>
  <c r="B7" i="15" s="1"/>
  <c r="G124" i="13"/>
  <c r="J58" i="14" s="1"/>
  <c r="D114" i="13"/>
  <c r="G55" i="14" s="1"/>
  <c r="G109" i="13"/>
  <c r="J54" i="14" s="1"/>
  <c r="E109" i="13"/>
  <c r="H54" i="14" s="1"/>
  <c r="D109" i="13"/>
  <c r="G54" i="14" s="1"/>
  <c r="C109" i="13"/>
  <c r="F54" i="14" s="1"/>
  <c r="F104" i="13"/>
  <c r="D104" i="13"/>
  <c r="G99" i="13"/>
  <c r="F99" i="13"/>
  <c r="E99" i="13"/>
  <c r="D99" i="13"/>
  <c r="C99" i="13"/>
  <c r="G94" i="13"/>
  <c r="F94" i="13"/>
  <c r="E94" i="13"/>
  <c r="D94" i="13"/>
  <c r="C94" i="13"/>
  <c r="G89" i="13"/>
  <c r="F89" i="13"/>
  <c r="E89" i="13"/>
  <c r="D89" i="13"/>
  <c r="C89" i="13"/>
  <c r="G84" i="13"/>
  <c r="F84" i="13"/>
  <c r="E84" i="13"/>
  <c r="D84" i="13"/>
  <c r="C84" i="13"/>
  <c r="G79" i="13"/>
  <c r="J28" i="14" s="1"/>
  <c r="F79" i="13"/>
  <c r="I28" i="14" s="1"/>
  <c r="E79" i="13"/>
  <c r="H28" i="14" s="1"/>
  <c r="D79" i="13"/>
  <c r="G28" i="14" s="1"/>
  <c r="C79" i="13"/>
  <c r="F28" i="14" s="1"/>
  <c r="F74" i="13"/>
  <c r="I26" i="14" s="1"/>
  <c r="D74" i="13"/>
  <c r="G26" i="14" s="1"/>
  <c r="G69" i="13"/>
  <c r="J20" i="14" s="1"/>
  <c r="E69" i="13"/>
  <c r="H20" i="14" s="1"/>
  <c r="C69" i="13"/>
  <c r="F20" i="14" s="1"/>
  <c r="F17" i="14"/>
  <c r="F15" i="14"/>
  <c r="F14" i="14"/>
  <c r="F23" i="13"/>
  <c r="B6" i="15" s="1"/>
  <c r="F159" i="13"/>
  <c r="I15" i="15"/>
  <c r="H16" i="15"/>
  <c r="C13" i="13"/>
  <c r="C15" i="13" s="1"/>
  <c r="F6" i="19"/>
  <c r="J17" i="18"/>
  <c r="AP17" i="18" s="1"/>
  <c r="K17" i="18"/>
  <c r="S17" i="18" s="1"/>
  <c r="J16" i="18"/>
  <c r="AP16" i="18" s="1"/>
  <c r="K16" i="18"/>
  <c r="S16" i="18" s="1"/>
  <c r="J15" i="18"/>
  <c r="AP15" i="18" s="1"/>
  <c r="K15" i="18"/>
  <c r="S15" i="18" s="1"/>
  <c r="R22" i="18"/>
  <c r="R21" i="18"/>
  <c r="Q22" i="18"/>
  <c r="Q21" i="18"/>
  <c r="P22" i="18"/>
  <c r="P21" i="18"/>
  <c r="O22" i="18"/>
  <c r="O21" i="18"/>
  <c r="N22" i="18"/>
  <c r="N21" i="18"/>
  <c r="M22" i="18"/>
  <c r="M21" i="18"/>
  <c r="L21" i="18"/>
  <c r="L22" i="18"/>
  <c r="J14" i="18"/>
  <c r="AP14" i="18" s="1"/>
  <c r="K14" i="18"/>
  <c r="S14" i="18" s="1"/>
  <c r="K13" i="18"/>
  <c r="J13" i="18"/>
  <c r="AP13" i="18" s="1"/>
  <c r="J21" i="18" s="1"/>
  <c r="J12" i="18"/>
  <c r="AP12" i="18" s="1"/>
  <c r="K12" i="18"/>
  <c r="S12" i="18" s="1"/>
  <c r="K11" i="18"/>
  <c r="S11" i="18" s="1"/>
  <c r="J11" i="18"/>
  <c r="AP11" i="18" s="1"/>
  <c r="J10" i="18"/>
  <c r="AP10" i="18" s="1"/>
  <c r="K10" i="18"/>
  <c r="S10" i="18" s="1"/>
  <c r="J9" i="18"/>
  <c r="AP9" i="18" s="1"/>
  <c r="K9" i="18"/>
  <c r="S9" i="18" s="1"/>
  <c r="K8" i="18"/>
  <c r="S8" i="18" s="1"/>
  <c r="J8" i="18"/>
  <c r="AP8" i="18" s="1"/>
  <c r="J7" i="18"/>
  <c r="AP7" i="18" s="1"/>
  <c r="K7" i="18"/>
  <c r="S7" i="18" s="1"/>
  <c r="J6" i="18"/>
  <c r="AP6" i="18" s="1"/>
  <c r="K6" i="18"/>
  <c r="I20" i="18"/>
  <c r="B57" i="15" s="1"/>
  <c r="I22" i="18"/>
  <c r="B59" i="15" s="1"/>
  <c r="J5" i="18"/>
  <c r="AP5" i="18" s="1"/>
  <c r="K5" i="18"/>
  <c r="H85" i="17"/>
  <c r="H43" i="17"/>
  <c r="E33" i="14"/>
  <c r="E80" i="14" s="1"/>
  <c r="G85" i="17"/>
  <c r="G43" i="17"/>
  <c r="D33" i="14"/>
  <c r="D80" i="14" s="1"/>
  <c r="F85" i="17"/>
  <c r="F43" i="17"/>
  <c r="C33" i="14"/>
  <c r="C80" i="14" s="1"/>
  <c r="E85" i="17"/>
  <c r="E43" i="17"/>
  <c r="D85" i="17"/>
  <c r="D43" i="17"/>
  <c r="C85" i="17"/>
  <c r="C43" i="17"/>
  <c r="B8" i="20" s="1"/>
  <c r="H83" i="17"/>
  <c r="H61" i="17"/>
  <c r="E88" i="14" s="1"/>
  <c r="H174" i="13" s="1"/>
  <c r="G83" i="17"/>
  <c r="G61" i="17"/>
  <c r="D88" i="14" s="1"/>
  <c r="F83" i="17"/>
  <c r="F61" i="17"/>
  <c r="C88" i="14" s="1"/>
  <c r="E83" i="17"/>
  <c r="E61" i="17"/>
  <c r="D83" i="17"/>
  <c r="D61" i="17"/>
  <c r="C83" i="17"/>
  <c r="B7" i="20"/>
  <c r="H70" i="17"/>
  <c r="E64" i="14"/>
  <c r="G70" i="17"/>
  <c r="D64" i="14"/>
  <c r="F70" i="17"/>
  <c r="C64" i="14"/>
  <c r="C119" i="14" s="1"/>
  <c r="E70" i="17"/>
  <c r="D70" i="17"/>
  <c r="H14" i="17"/>
  <c r="H68" i="17"/>
  <c r="G14" i="17"/>
  <c r="G68" i="17"/>
  <c r="F14" i="17"/>
  <c r="F68" i="17"/>
  <c r="E14" i="17"/>
  <c r="E68" i="17"/>
  <c r="D14" i="17"/>
  <c r="D68" i="17"/>
  <c r="C12" i="17"/>
  <c r="C14" i="17" s="1"/>
  <c r="B4" i="20"/>
  <c r="J103" i="14"/>
  <c r="J101" i="14"/>
  <c r="J102" i="14"/>
  <c r="I102" i="14"/>
  <c r="I103" i="14"/>
  <c r="I101" i="14"/>
  <c r="H101" i="14"/>
  <c r="H103" i="14"/>
  <c r="H102" i="14"/>
  <c r="G101" i="14"/>
  <c r="G103" i="14"/>
  <c r="G102" i="14"/>
  <c r="F103" i="14"/>
  <c r="F102" i="14"/>
  <c r="F101" i="14"/>
  <c r="E106" i="14"/>
  <c r="E99" i="14"/>
  <c r="E105" i="14" s="1"/>
  <c r="E100" i="14"/>
  <c r="E104" i="14" s="1"/>
  <c r="D99" i="14"/>
  <c r="D105" i="14" s="1"/>
  <c r="D106" i="14"/>
  <c r="D100" i="14"/>
  <c r="D104" i="14" s="1"/>
  <c r="C106" i="14"/>
  <c r="C100" i="14"/>
  <c r="C104" i="14" s="1"/>
  <c r="C99" i="14"/>
  <c r="E53" i="14"/>
  <c r="E59" i="14" s="1"/>
  <c r="E54" i="14"/>
  <c r="H109" i="13" s="1"/>
  <c r="D54" i="14"/>
  <c r="D53" i="14"/>
  <c r="D59" i="14" s="1"/>
  <c r="C65" i="14"/>
  <c r="C68" i="14" s="1"/>
  <c r="C95" i="14"/>
  <c r="H104" i="13"/>
  <c r="E34" i="14"/>
  <c r="E29" i="14"/>
  <c r="E30" i="14"/>
  <c r="H84" i="13"/>
  <c r="D30" i="14"/>
  <c r="D34" i="14"/>
  <c r="C29" i="14"/>
  <c r="C34" i="14"/>
  <c r="E26" i="14"/>
  <c r="H74" i="13" s="1"/>
  <c r="E46" i="14"/>
  <c r="H99" i="13"/>
  <c r="E22" i="14"/>
  <c r="E43" i="14"/>
  <c r="E45" i="14"/>
  <c r="D45" i="14"/>
  <c r="D22" i="14"/>
  <c r="D43" i="14"/>
  <c r="D46" i="14"/>
  <c r="D26" i="14"/>
  <c r="C46" i="14"/>
  <c r="C26" i="14"/>
  <c r="C43" i="14"/>
  <c r="C45" i="14"/>
  <c r="B10" i="20"/>
  <c r="E20" i="14"/>
  <c r="H69" i="13" s="1"/>
  <c r="E19" i="14"/>
  <c r="E63" i="14"/>
  <c r="H139" i="13" s="1"/>
  <c r="D20" i="14"/>
  <c r="D19" i="14"/>
  <c r="D63" i="14"/>
  <c r="E108" i="14"/>
  <c r="D108" i="14"/>
  <c r="D56" i="14"/>
  <c r="E56" i="14"/>
  <c r="H119" i="13" s="1"/>
  <c r="B20" i="20" l="1"/>
  <c r="C20" i="20" s="1"/>
  <c r="G41" i="14"/>
  <c r="H41" i="14" s="1"/>
  <c r="I41" i="14" s="1"/>
  <c r="J41" i="14" s="1"/>
  <c r="G16" i="14"/>
  <c r="H16" i="14" s="1"/>
  <c r="I16" i="14" s="1"/>
  <c r="J16" i="14" s="1"/>
  <c r="F83" i="14"/>
  <c r="F81" i="14" s="1"/>
  <c r="G17" i="14"/>
  <c r="H17" i="14" s="1"/>
  <c r="I17" i="14" s="1"/>
  <c r="J17" i="14" s="1"/>
  <c r="G15" i="14"/>
  <c r="H15" i="14" s="1"/>
  <c r="I15" i="14" s="1"/>
  <c r="J15" i="14" s="1"/>
  <c r="G14" i="14"/>
  <c r="H14" i="14" s="1"/>
  <c r="I14" i="14" s="1"/>
  <c r="J14" i="14" s="1"/>
  <c r="G13" i="14"/>
  <c r="F18" i="14"/>
  <c r="J15" i="15"/>
  <c r="I16" i="15"/>
  <c r="B72" i="15"/>
  <c r="B84" i="15"/>
  <c r="A2" i="15"/>
  <c r="B5" i="15"/>
  <c r="AO17" i="18"/>
  <c r="AN17" i="18"/>
  <c r="AN16" i="18"/>
  <c r="AO16" i="18"/>
  <c r="AN15" i="18"/>
  <c r="AO15" i="18"/>
  <c r="AO14" i="18"/>
  <c r="AN14" i="18"/>
  <c r="S13" i="18"/>
  <c r="K21" i="18"/>
  <c r="AN12" i="18"/>
  <c r="AO12" i="18"/>
  <c r="AN11" i="18"/>
  <c r="AO11" i="18"/>
  <c r="AN10" i="18"/>
  <c r="AO10" i="18"/>
  <c r="AN9" i="18"/>
  <c r="AO9" i="18"/>
  <c r="AN8" i="18"/>
  <c r="AO8" i="18"/>
  <c r="AN7" i="18"/>
  <c r="AO7" i="18"/>
  <c r="J22" i="18"/>
  <c r="J20" i="18"/>
  <c r="S6" i="18"/>
  <c r="K20" i="18"/>
  <c r="K22" i="18"/>
  <c r="E113" i="14"/>
  <c r="E84" i="14"/>
  <c r="E91" i="14"/>
  <c r="H184" i="13" s="1"/>
  <c r="B8" i="15"/>
  <c r="B20" i="15"/>
  <c r="F74" i="14"/>
  <c r="D113" i="14"/>
  <c r="D84" i="14"/>
  <c r="D91" i="14"/>
  <c r="C113" i="14"/>
  <c r="C84" i="14"/>
  <c r="C91" i="14"/>
  <c r="E117" i="14"/>
  <c r="E119" i="14"/>
  <c r="E61" i="14"/>
  <c r="H134" i="13" s="1"/>
  <c r="D117" i="14"/>
  <c r="D119" i="14"/>
  <c r="D61" i="14"/>
  <c r="C69" i="17"/>
  <c r="C18" i="17"/>
  <c r="C21" i="17" s="1"/>
  <c r="C105" i="14"/>
  <c r="E65" i="14"/>
  <c r="E68" i="14" s="1"/>
  <c r="E95" i="14"/>
  <c r="E116" i="14"/>
  <c r="D65" i="14"/>
  <c r="D68" i="14" s="1"/>
  <c r="D95" i="14"/>
  <c r="D116" i="14"/>
  <c r="C70" i="14"/>
  <c r="C120" i="14" s="1"/>
  <c r="C67" i="14"/>
  <c r="E44" i="14"/>
  <c r="E118" i="14"/>
  <c r="D44" i="14"/>
  <c r="D118" i="14"/>
  <c r="B46" i="15"/>
  <c r="E60" i="14"/>
  <c r="H129" i="13" s="1"/>
  <c r="D60" i="14"/>
  <c r="C44" i="14"/>
  <c r="H18" i="17"/>
  <c r="H21" i="17" s="1"/>
  <c r="H23" i="17" s="1"/>
  <c r="H69" i="17"/>
  <c r="G18" i="17"/>
  <c r="G21" i="17" s="1"/>
  <c r="G23" i="17" s="1"/>
  <c r="G69" i="17"/>
  <c r="F18" i="17"/>
  <c r="F21" i="17" s="1"/>
  <c r="F23" i="17" s="1"/>
  <c r="F69" i="17"/>
  <c r="E18" i="17"/>
  <c r="E21" i="17" s="1"/>
  <c r="E23" i="17" s="1"/>
  <c r="E69" i="17"/>
  <c r="D18" i="17"/>
  <c r="D21" i="17" s="1"/>
  <c r="D23" i="17" s="1"/>
  <c r="D69" i="17"/>
  <c r="G76" i="14" l="1"/>
  <c r="G83" i="14"/>
  <c r="H13" i="14"/>
  <c r="G18" i="14"/>
  <c r="F66" i="14"/>
  <c r="F19" i="14"/>
  <c r="F21" i="14"/>
  <c r="F111" i="14"/>
  <c r="F112" i="14" s="1"/>
  <c r="K15" i="15"/>
  <c r="J16" i="15"/>
  <c r="C46" i="15"/>
  <c r="D46" i="15" s="1"/>
  <c r="E46" i="15" s="1"/>
  <c r="C44" i="15"/>
  <c r="D44" i="15" s="1"/>
  <c r="E44" i="15" s="1"/>
  <c r="D23" i="15"/>
  <c r="E23" i="15"/>
  <c r="F23" i="15"/>
  <c r="G23" i="15"/>
  <c r="J23" i="15"/>
  <c r="K23" i="15"/>
  <c r="C23" i="15"/>
  <c r="B21" i="20"/>
  <c r="C21" i="20" s="1"/>
  <c r="AN13" i="18"/>
  <c r="AO13" i="18"/>
  <c r="AN6" i="18"/>
  <c r="AO6" i="18"/>
  <c r="C26" i="18"/>
  <c r="C57" i="15"/>
  <c r="D57" i="15" s="1"/>
  <c r="C59" i="15"/>
  <c r="D59" i="15" s="1"/>
  <c r="C58" i="15"/>
  <c r="D58" i="15" s="1"/>
  <c r="B49" i="15"/>
  <c r="B50" i="15" s="1"/>
  <c r="B29" i="15"/>
  <c r="C17" i="15"/>
  <c r="C23" i="17"/>
  <c r="B6" i="20" s="1"/>
  <c r="B5" i="20"/>
  <c r="E70" i="14"/>
  <c r="E67" i="14"/>
  <c r="H144" i="13" s="1"/>
  <c r="D70" i="14"/>
  <c r="D67" i="14"/>
  <c r="F97" i="14"/>
  <c r="H82" i="17"/>
  <c r="H81" i="17"/>
  <c r="H86" i="17"/>
  <c r="G82" i="17"/>
  <c r="G81" i="17"/>
  <c r="G86" i="17"/>
  <c r="F82" i="17"/>
  <c r="F81" i="17"/>
  <c r="F86" i="17"/>
  <c r="E82" i="17"/>
  <c r="E81" i="17"/>
  <c r="E86" i="17"/>
  <c r="D82" i="17"/>
  <c r="D81" i="17"/>
  <c r="D86" i="17"/>
  <c r="H76" i="14" l="1"/>
  <c r="H83" i="14"/>
  <c r="G81" i="14"/>
  <c r="I13" i="14"/>
  <c r="H18" i="14"/>
  <c r="G66" i="14"/>
  <c r="G21" i="14"/>
  <c r="G19" i="14"/>
  <c r="G111" i="14"/>
  <c r="G112" i="14" s="1"/>
  <c r="F50" i="14"/>
  <c r="F22" i="14"/>
  <c r="F25" i="14"/>
  <c r="F42" i="14"/>
  <c r="L15" i="15"/>
  <c r="K16" i="15"/>
  <c r="C27" i="18"/>
  <c r="C28" i="18"/>
  <c r="C30" i="18" s="1"/>
  <c r="B60" i="15" s="1"/>
  <c r="C60" i="15" s="1"/>
  <c r="D60" i="15" s="1"/>
  <c r="C29" i="18"/>
  <c r="E120" i="14"/>
  <c r="E71" i="14"/>
  <c r="E86" i="14"/>
  <c r="E87" i="14"/>
  <c r="B11" i="20"/>
  <c r="D71" i="14"/>
  <c r="D86" i="14"/>
  <c r="D87" i="14"/>
  <c r="I76" i="14" l="1"/>
  <c r="I83" i="14"/>
  <c r="H81" i="14"/>
  <c r="J13" i="14"/>
  <c r="J18" i="14" s="1"/>
  <c r="I18" i="14"/>
  <c r="H66" i="14"/>
  <c r="H19" i="14"/>
  <c r="H21" i="14"/>
  <c r="H111" i="14"/>
  <c r="H112" i="14" s="1"/>
  <c r="G50" i="14"/>
  <c r="G22" i="14"/>
  <c r="G25" i="14"/>
  <c r="G42" i="14"/>
  <c r="F27" i="14"/>
  <c r="F29" i="14" s="1"/>
  <c r="F30" i="14"/>
  <c r="F31" i="14"/>
  <c r="F57" i="14" s="1"/>
  <c r="F32" i="14"/>
  <c r="F40" i="14"/>
  <c r="L23" i="15"/>
  <c r="M15" i="15"/>
  <c r="L16" i="15"/>
  <c r="J76" i="14" l="1"/>
  <c r="J83" i="14"/>
  <c r="J81" i="14" s="1"/>
  <c r="I81" i="14"/>
  <c r="J66" i="14"/>
  <c r="J19" i="14"/>
  <c r="J111" i="14"/>
  <c r="J112" i="14" s="1"/>
  <c r="J21" i="14"/>
  <c r="I66" i="14"/>
  <c r="I19" i="14"/>
  <c r="I21" i="14"/>
  <c r="I111" i="14"/>
  <c r="I112" i="14" s="1"/>
  <c r="H50" i="14"/>
  <c r="H22" i="14"/>
  <c r="H25" i="14"/>
  <c r="H42" i="14"/>
  <c r="G27" i="14"/>
  <c r="G29" i="14" s="1"/>
  <c r="G30" i="14"/>
  <c r="G31" i="14"/>
  <c r="G57" i="14" s="1"/>
  <c r="G32" i="14"/>
  <c r="G40" i="14"/>
  <c r="F45" i="14"/>
  <c r="F51" i="14"/>
  <c r="F53" i="14" s="1"/>
  <c r="F59" i="14" s="1"/>
  <c r="M23" i="15"/>
  <c r="N15" i="15"/>
  <c r="M16" i="15"/>
  <c r="G51" i="14" l="1"/>
  <c r="G45" i="14"/>
  <c r="J50" i="14"/>
  <c r="J22" i="14"/>
  <c r="J25" i="14"/>
  <c r="J42" i="14"/>
  <c r="I50" i="14"/>
  <c r="I22" i="14"/>
  <c r="I25" i="14"/>
  <c r="I42" i="14"/>
  <c r="H27" i="14"/>
  <c r="H29" i="14" s="1"/>
  <c r="H30" i="14"/>
  <c r="H32" i="14"/>
  <c r="H31" i="14"/>
  <c r="H57" i="14" s="1"/>
  <c r="H40" i="14"/>
  <c r="F64" i="14"/>
  <c r="F62" i="14"/>
  <c r="N23" i="15"/>
  <c r="N16" i="15"/>
  <c r="O15" i="15"/>
  <c r="F119" i="14" l="1"/>
  <c r="H45" i="14"/>
  <c r="H51" i="14"/>
  <c r="G62" i="14"/>
  <c r="G64" i="14"/>
  <c r="J27" i="14"/>
  <c r="J29" i="14" s="1"/>
  <c r="J30" i="14"/>
  <c r="J31" i="14"/>
  <c r="J32" i="14"/>
  <c r="J40" i="14"/>
  <c r="I27" i="14"/>
  <c r="I29" i="14" s="1"/>
  <c r="I32" i="14"/>
  <c r="I40" i="14"/>
  <c r="I31" i="14"/>
  <c r="I57" i="14" s="1"/>
  <c r="I30" i="14"/>
  <c r="F95" i="14"/>
  <c r="G97" i="14" s="1"/>
  <c r="F65" i="14"/>
  <c r="F68" i="14" s="1"/>
  <c r="F69" i="14" s="1"/>
  <c r="F70" i="14" s="1"/>
  <c r="O23" i="15"/>
  <c r="P15" i="15"/>
  <c r="O16" i="15"/>
  <c r="J57" i="14" l="1"/>
  <c r="H64" i="14"/>
  <c r="H62" i="14"/>
  <c r="J45" i="14"/>
  <c r="J51" i="14"/>
  <c r="I45" i="14"/>
  <c r="I51" i="14"/>
  <c r="F71" i="14"/>
  <c r="F120" i="14"/>
  <c r="F79" i="14"/>
  <c r="F85" i="14"/>
  <c r="B53" i="15" s="1"/>
  <c r="F107" i="14"/>
  <c r="C19" i="15"/>
  <c r="P23" i="15"/>
  <c r="Q15" i="15"/>
  <c r="P16" i="15"/>
  <c r="C22" i="15" l="1"/>
  <c r="C24" i="15" s="1"/>
  <c r="C18" i="15"/>
  <c r="I64" i="14"/>
  <c r="I62" i="14"/>
  <c r="F80" i="14"/>
  <c r="F82" i="14"/>
  <c r="J62" i="14"/>
  <c r="J64" i="14"/>
  <c r="Q23" i="15"/>
  <c r="Q16" i="15"/>
  <c r="C24" i="13" s="1"/>
  <c r="C20" i="15" l="1"/>
  <c r="C21" i="15" s="1"/>
  <c r="F92" i="14"/>
  <c r="F93" i="14" s="1"/>
  <c r="F84" i="14"/>
  <c r="F113" i="14"/>
  <c r="F86" i="14"/>
  <c r="G74" i="14"/>
  <c r="D17" i="15" s="1"/>
  <c r="F33" i="14"/>
  <c r="F34" i="14" s="1"/>
  <c r="F39" i="14" s="1"/>
  <c r="F47" i="14" l="1"/>
  <c r="G52" i="14"/>
  <c r="G53" i="14" s="1"/>
  <c r="G59" i="14" s="1"/>
  <c r="F43" i="14"/>
  <c r="F46" i="14"/>
  <c r="F116" i="14" s="1"/>
  <c r="G119" i="14" l="1"/>
  <c r="G65" i="14"/>
  <c r="G68" i="14" s="1"/>
  <c r="G69" i="14" s="1"/>
  <c r="G70" i="14" s="1"/>
  <c r="G95" i="14"/>
  <c r="F87" i="14"/>
  <c r="F117" i="14"/>
  <c r="F90" i="14"/>
  <c r="F98" i="14" s="1"/>
  <c r="F44" i="14"/>
  <c r="F118" i="14"/>
  <c r="H97" i="14"/>
  <c r="F106" i="14" l="1"/>
  <c r="F100" i="14"/>
  <c r="F104" i="14" s="1"/>
  <c r="F99" i="14"/>
  <c r="F105" i="14" s="1"/>
  <c r="F108" i="14"/>
  <c r="G120" i="14"/>
  <c r="G71" i="14"/>
  <c r="G79" i="14"/>
  <c r="G85" i="14"/>
  <c r="G107" i="14"/>
  <c r="D19" i="15"/>
  <c r="G80" i="14" l="1"/>
  <c r="G82" i="14"/>
  <c r="D22" i="15"/>
  <c r="D24" i="15" s="1"/>
  <c r="D18" i="15"/>
  <c r="G86" i="14" l="1"/>
  <c r="H74" i="14"/>
  <c r="G33" i="14"/>
  <c r="G34" i="14" s="1"/>
  <c r="G39" i="14" s="1"/>
  <c r="D20" i="15"/>
  <c r="D21" i="15" s="1"/>
  <c r="G92" i="14"/>
  <c r="G84" i="14"/>
  <c r="G113" i="14"/>
  <c r="E17" i="15" l="1"/>
  <c r="G46" i="14"/>
  <c r="G116" i="14" s="1"/>
  <c r="G43" i="14"/>
  <c r="H52" i="14"/>
  <c r="H53" i="14" s="1"/>
  <c r="H59" i="14" s="1"/>
  <c r="G47" i="14"/>
  <c r="G93" i="14"/>
  <c r="G87" i="14" l="1"/>
  <c r="G117" i="14"/>
  <c r="G90" i="14"/>
  <c r="G98" i="14" s="1"/>
  <c r="G44" i="14"/>
  <c r="G118" i="14"/>
  <c r="H119" i="14"/>
  <c r="H95" i="14"/>
  <c r="H65" i="14"/>
  <c r="H68" i="14" s="1"/>
  <c r="G106" i="14" l="1"/>
  <c r="G100" i="14"/>
  <c r="G104" i="14" s="1"/>
  <c r="G99" i="14"/>
  <c r="G108" i="14"/>
  <c r="I97" i="14"/>
  <c r="H69" i="14"/>
  <c r="H70" i="14" s="1"/>
  <c r="G105" i="14" l="1"/>
  <c r="H120" i="14"/>
  <c r="H71" i="14"/>
  <c r="H79" i="14"/>
  <c r="H85" i="14"/>
  <c r="H107" i="14"/>
  <c r="E19" i="15"/>
  <c r="H80" i="14" l="1"/>
  <c r="H82" i="14"/>
  <c r="E22" i="15"/>
  <c r="E24" i="15" s="1"/>
  <c r="E18" i="15"/>
  <c r="H86" i="14" l="1"/>
  <c r="I74" i="14"/>
  <c r="H33" i="14"/>
  <c r="H34" i="14" s="1"/>
  <c r="H39" i="14" s="1"/>
  <c r="E20" i="15"/>
  <c r="E21" i="15" s="1"/>
  <c r="H92" i="14"/>
  <c r="H84" i="14"/>
  <c r="H113" i="14"/>
  <c r="F17" i="15" l="1"/>
  <c r="H47" i="14"/>
  <c r="I52" i="14"/>
  <c r="I53" i="14" s="1"/>
  <c r="I59" i="14" s="1"/>
  <c r="H43" i="14"/>
  <c r="H46" i="14"/>
  <c r="H116" i="14" s="1"/>
  <c r="H93" i="14"/>
  <c r="I119" i="14" l="1"/>
  <c r="I95" i="14"/>
  <c r="J97" i="14" s="1"/>
  <c r="I65" i="14"/>
  <c r="I68" i="14" s="1"/>
  <c r="H87" i="14"/>
  <c r="H117" i="14"/>
  <c r="H90" i="14"/>
  <c r="H98" i="14" s="1"/>
  <c r="H44" i="14"/>
  <c r="H118" i="14"/>
  <c r="H100" i="14" l="1"/>
  <c r="H104" i="14" s="1"/>
  <c r="H106" i="14"/>
  <c r="I69" i="14"/>
  <c r="I70" i="14" s="1"/>
  <c r="H99" i="14"/>
  <c r="H108" i="14"/>
  <c r="I120" i="14" l="1"/>
  <c r="I71" i="14"/>
  <c r="I79" i="14"/>
  <c r="I85" i="14"/>
  <c r="I107" i="14"/>
  <c r="F19" i="15"/>
  <c r="H105" i="14"/>
  <c r="I80" i="14" l="1"/>
  <c r="I82" i="14"/>
  <c r="F22" i="15"/>
  <c r="F24" i="15" s="1"/>
  <c r="F18" i="15"/>
  <c r="I86" i="14" l="1"/>
  <c r="J74" i="14"/>
  <c r="I33" i="14"/>
  <c r="I34" i="14" s="1"/>
  <c r="I39" i="14" s="1"/>
  <c r="F20" i="15"/>
  <c r="F21" i="15" s="1"/>
  <c r="I92" i="14"/>
  <c r="I84" i="14"/>
  <c r="B15" i="20" s="1"/>
  <c r="C15" i="20" s="1"/>
  <c r="I113" i="14"/>
  <c r="G17" i="15" l="1"/>
  <c r="I47" i="14"/>
  <c r="J52" i="14"/>
  <c r="J53" i="14" s="1"/>
  <c r="J59" i="14" s="1"/>
  <c r="I43" i="14"/>
  <c r="I46" i="14"/>
  <c r="I116" i="14" s="1"/>
  <c r="I93" i="14"/>
  <c r="J119" i="14" l="1"/>
  <c r="J95" i="14"/>
  <c r="J65" i="14"/>
  <c r="J68" i="14" s="1"/>
  <c r="I87" i="14"/>
  <c r="I117" i="14"/>
  <c r="I90" i="14"/>
  <c r="I98" i="14" s="1"/>
  <c r="I44" i="14"/>
  <c r="I118" i="14"/>
  <c r="J69" i="14" l="1"/>
  <c r="J70" i="14" s="1"/>
  <c r="I100" i="14"/>
  <c r="I104" i="14" s="1"/>
  <c r="I106" i="14"/>
  <c r="I99" i="14"/>
  <c r="I108" i="14"/>
  <c r="J120" i="14" l="1"/>
  <c r="J71" i="14"/>
  <c r="J79" i="14"/>
  <c r="J85" i="14"/>
  <c r="J107" i="14"/>
  <c r="G19" i="15"/>
  <c r="I105" i="14"/>
  <c r="J80" i="14" l="1"/>
  <c r="J82" i="14"/>
  <c r="B14" i="20" s="1"/>
  <c r="C14" i="20" s="1"/>
  <c r="G22" i="15"/>
  <c r="G24" i="15" s="1"/>
  <c r="B30" i="15" s="1"/>
  <c r="G18" i="15"/>
  <c r="J86" i="14" l="1"/>
  <c r="J33" i="14"/>
  <c r="J34" i="14" s="1"/>
  <c r="J39" i="14" s="1"/>
  <c r="G20" i="15"/>
  <c r="J92" i="14"/>
  <c r="J84" i="14"/>
  <c r="J113" i="14"/>
  <c r="B13" i="20"/>
  <c r="C13" i="20" s="1"/>
  <c r="H18" i="15"/>
  <c r="I18" i="15"/>
  <c r="J18" i="15"/>
  <c r="K18" i="15"/>
  <c r="L18" i="15"/>
  <c r="M18" i="15"/>
  <c r="N18" i="15"/>
  <c r="O18" i="15"/>
  <c r="P18" i="15"/>
  <c r="Q18" i="15"/>
  <c r="B45" i="15" l="1"/>
  <c r="J46" i="14"/>
  <c r="J116" i="14" s="1"/>
  <c r="J43" i="14"/>
  <c r="J47" i="14"/>
  <c r="B19" i="20" s="1"/>
  <c r="C19" i="20" s="1"/>
  <c r="G21" i="15"/>
  <c r="H17" i="15"/>
  <c r="J93" i="14"/>
  <c r="B51" i="15" l="1"/>
  <c r="C45" i="15"/>
  <c r="D45" i="15" s="1"/>
  <c r="E45" i="15" s="1"/>
  <c r="J87" i="14"/>
  <c r="J117" i="14"/>
  <c r="J90" i="14"/>
  <c r="J98" i="14" s="1"/>
  <c r="J44" i="14"/>
  <c r="B12" i="20" s="1"/>
  <c r="C12" i="20" s="1"/>
  <c r="J118" i="14"/>
  <c r="H21" i="15"/>
  <c r="I21" i="15"/>
  <c r="I25" i="15" s="1"/>
  <c r="J21" i="15"/>
  <c r="J25" i="15" s="1"/>
  <c r="K21" i="15"/>
  <c r="K25" i="15" s="1"/>
  <c r="L21" i="15"/>
  <c r="L25" i="15" s="1"/>
  <c r="M21" i="15"/>
  <c r="M25" i="15" s="1"/>
  <c r="N21" i="15"/>
  <c r="N25" i="15" s="1"/>
  <c r="O21" i="15"/>
  <c r="O25" i="15" s="1"/>
  <c r="P21" i="15"/>
  <c r="P25" i="15" s="1"/>
  <c r="Q21" i="15"/>
  <c r="Q25" i="15" s="1"/>
  <c r="H19" i="15"/>
  <c r="H22" i="15" s="1"/>
  <c r="H25" i="15" l="1"/>
  <c r="B22" i="20" s="1"/>
  <c r="C22" i="20" s="1"/>
  <c r="H20" i="15"/>
  <c r="I17" i="15" s="1"/>
  <c r="J106" i="14"/>
  <c r="J99" i="14"/>
  <c r="J100" i="14"/>
  <c r="J104" i="14" s="1"/>
  <c r="B17" i="20" s="1"/>
  <c r="J108" i="14"/>
  <c r="I20" i="15" l="1"/>
  <c r="J17" i="15" s="1"/>
  <c r="I19" i="15"/>
  <c r="I22" i="15" s="1"/>
  <c r="J105" i="14"/>
  <c r="B18" i="20" s="1"/>
  <c r="C18" i="20" s="1"/>
  <c r="B16" i="20"/>
  <c r="C16" i="20" s="1"/>
  <c r="C17" i="20"/>
  <c r="J19" i="15" l="1"/>
  <c r="J22" i="15" s="1"/>
  <c r="J24" i="15" s="1"/>
  <c r="J20" i="15"/>
  <c r="K17" i="15" s="1"/>
  <c r="K19" i="15" l="1"/>
  <c r="K22" i="15" s="1"/>
  <c r="K24" i="15" s="1"/>
  <c r="K20" i="15"/>
  <c r="L17" i="15" s="1"/>
  <c r="L19" i="15" l="1"/>
  <c r="L22" i="15" s="1"/>
  <c r="L24" i="15" s="1"/>
  <c r="L20" i="15"/>
  <c r="M17" i="15" s="1"/>
  <c r="M19" i="15" l="1"/>
  <c r="M22" i="15" s="1"/>
  <c r="M24" i="15" s="1"/>
  <c r="M20" i="15"/>
  <c r="N17" i="15" s="1"/>
  <c r="N19" i="15" l="1"/>
  <c r="N22" i="15" s="1"/>
  <c r="N24" i="15" s="1"/>
  <c r="N20" i="15"/>
  <c r="O17" i="15" s="1"/>
  <c r="O19" i="15" l="1"/>
  <c r="O22" i="15" s="1"/>
  <c r="O24" i="15" s="1"/>
  <c r="O20" i="15"/>
  <c r="P17" i="15" s="1"/>
  <c r="P20" i="15" l="1"/>
  <c r="Q17" i="15" s="1"/>
  <c r="P19" i="15"/>
  <c r="P22" i="15" s="1"/>
  <c r="P24" i="15" s="1"/>
  <c r="Q19" i="15" l="1"/>
  <c r="Q22" i="15" s="1"/>
  <c r="Q24" i="15" s="1"/>
  <c r="Q20" i="15"/>
  <c r="B32" i="15" s="1"/>
  <c r="B33" i="15" s="1"/>
  <c r="I23" i="15" l="1"/>
  <c r="I24" i="15" s="1"/>
  <c r="H23" i="15"/>
  <c r="H24" i="15" s="1"/>
  <c r="B31" i="15" l="1"/>
  <c r="B34" i="15" s="1"/>
  <c r="B35" i="15" l="1"/>
  <c r="B40" i="15"/>
  <c r="B36" i="15" l="1"/>
  <c r="B38" i="15"/>
  <c r="B23" i="20" l="1"/>
  <c r="C23" i="20" s="1"/>
  <c r="B2" i="20" s="1"/>
  <c r="B67" i="15"/>
  <c r="B79" i="15"/>
  <c r="B39" i="15"/>
  <c r="B37" i="15"/>
</calcChain>
</file>

<file path=xl/sharedStrings.xml><?xml version="1.0" encoding="utf-8"?>
<sst xmlns="http://schemas.openxmlformats.org/spreadsheetml/2006/main" count="1306" uniqueCount="866">
  <si>
    <t>AU Small Finance Bank Ltd (NSE: AUBANK) - Educational Bank Valuation Model</t>
  </si>
  <si>
    <t>Independent Educational Equity Research. This is not an investment advice, not a recommendation, not a target price.</t>
  </si>
  <si>
    <t>Valuation Date: 29-May-2026 (NSE closing price)</t>
  </si>
  <si>
    <t>Information Cut-Off: 29-May-2026 (No document published after this date is used in the valuation model)</t>
  </si>
  <si>
    <t>Accounting Basis: STANDALONE (AU reports as a single bank; Fincare SFB was amalgamated w.e.f. 01-Apr-2024 by pooling of interests method).</t>
  </si>
  <si>
    <t>Units: INR crores unless stated; Per-share data in INR; Ratios as decimals formatted %. 
Fiscal Year ends 31 March (FY26 = 01-Apr-2025 to 31-Mar-2026).</t>
  </si>
  <si>
    <t>Forecast: FY27E-FY31E Explicit; FY32-FY41 Fade Stage; Continuing Value thereafter (3-Stage Residual Income).</t>
  </si>
  <si>
    <t>Colour / Format Convention</t>
  </si>
  <si>
    <t>Blue Font = Hard-Coded Input (reported data or analyst assumption; every one carries a source ID or a note).</t>
  </si>
  <si>
    <t>Black Font = Formula
Green Font = Formula linking to another sheet
Yellow Fill = Key Assumption / Scenario Lever</t>
  </si>
  <si>
    <t>Grey Fill "Active" Rows = Drivers actually used by the Model (chosen by the scenario selector on Inputs).</t>
  </si>
  <si>
    <t>Sheet Map</t>
  </si>
  <si>
    <t>Hist - FY21-FY26 audited standalone income statement, balance sheet, capital, asset quality (reported) + calculated ratios.</t>
  </si>
  <si>
    <t>Model - Integrated forecast: loan segments, deposits, balance sheet (cash &amp; bank is the balancing item), P&amp;L, equity roll-forward, RWA and capital.</t>
  </si>
  <si>
    <t>Peers - 12 listed peers from NSE XBRL filings (FY26 audited standalone), prices at 29-May-2026.</t>
  </si>
  <si>
    <t>Beta - 2-year weekly AUBANK vs NIFTY 50 closes (NSE) and regression beta.</t>
  </si>
  <si>
    <t>KEY LIMITATIONS</t>
  </si>
  <si>
    <t>- FY25 is not comparable with earlier years (Fincare amalgamation); FY21 includes a one-off gain on sale of Aavas stake (per company presentation) and Covid provisioning.</t>
  </si>
  <si>
    <t>Inputs, Scenario Selector and Driver Tables</t>
  </si>
  <si>
    <t>Blue = input; yellow = key lever; grey "Active" rows feed the Model. Units: decimals shown as %, INR crore unless stated.</t>
  </si>
  <si>
    <t>A. Dates, market data and cost of equity</t>
  </si>
  <si>
    <t>Valuation Date</t>
  </si>
  <si>
    <t>NSE close. Information Cut-Off = Same Date.</t>
  </si>
  <si>
    <t>Base Balance-Sheet Date (FY26 Year-End)</t>
  </si>
  <si>
    <t>Audited standalone balance sheet [S1]</t>
  </si>
  <si>
    <t>Days from FY-end to Valuation Date</t>
  </si>
  <si>
    <t>Used to roll value from 31-Mar-2026 to valuation date</t>
  </si>
  <si>
    <t>Closing Price, 29-May-2026 (INR)</t>
  </si>
  <si>
    <t>[S15] NSE EQ series close. 52-wk range 682.15-1,079.55</t>
  </si>
  <si>
    <t>Equity Shares Outstanding, 31-Mar-2026 (crores)</t>
  </si>
  <si>
    <t>Paid-up capital / face value INR10 [S1]</t>
  </si>
  <si>
    <t>Dilution from ESOPs (basic EPS / diluted EPS - 1)</t>
  </si>
  <si>
    <t>FY26 basic 35.40 / diluted 35.01 [S1]; applied to period-end shares</t>
  </si>
  <si>
    <t>Diluted shares for valuation (crore)</t>
  </si>
  <si>
    <t>Calculated</t>
  </si>
  <si>
    <t>Risk-free rate (10-yr G-sec, INR)</t>
  </si>
  <si>
    <t>[S18] Interpolated: 7-yr 7.07% (22-May) and 14-yr 7.34% (29-May) RBI auction cut-offs -&gt; ~7.19%; rounded 7.20%</t>
  </si>
  <si>
    <t>Equity beta (2-yr weekly vs NIFTY 50)</t>
  </si>
  <si>
    <t>[S15][S16] Regression beta, see Beta sheet</t>
  </si>
  <si>
    <t>Equity risk premium (India, INR)</t>
  </si>
  <si>
    <t>Cost of equity (CAPM)</t>
  </si>
  <si>
    <t>Rf + beta x ERP</t>
  </si>
  <si>
    <t>Scenario selector (1 = Base, 2 = Upside, 3 = Downside)</t>
  </si>
  <si>
    <t>Drives every "Active" row below</t>
  </si>
  <si>
    <t>C. Terminal / valuation assumptions (by scenario)</t>
  </si>
  <si>
    <t>Item</t>
  </si>
  <si>
    <t>Base</t>
  </si>
  <si>
    <t>Upside</t>
  </si>
  <si>
    <t>Downside</t>
  </si>
  <si>
    <t>Active</t>
  </si>
  <si>
    <t>Terminal (steady-state) ROE</t>
  </si>
  <si>
    <t>Judgement: FY22-FY26 reported ROE 13-16% (S8 extract); peer private banks 11-13%; universal-bank transition adds competition. Terminal ROE applies after a 10-year linear fade.</t>
  </si>
  <si>
    <t>Terminal growth of book value / earnings</t>
  </si>
  <si>
    <t>Below long-run nominal GDP; must be &lt; CoE and consistent with ROE x retention (implied payout = 1 - g/ROE)</t>
  </si>
  <si>
    <t>Fade period (years, FY32-FY41) - structural</t>
  </si>
  <si>
    <t>D. Regulatory and structural inputs</t>
  </si>
  <si>
    <t>Assumed universal-bank transition: first fiscal year (e.g. 2028 = FY28)</t>
  </si>
  <si>
    <t>Assumption. In-principle approval 7-Aug-2025 [S14]; final application filed Mar-2026 [S1].</t>
  </si>
  <si>
    <t>Operational-risk capital proxy: % of avg gross income (BIA-style)</t>
  </si>
  <si>
    <t>Assumption for illustration; RWA = 12.5 x alpha x 3-yr avg (NII + other income)</t>
  </si>
  <si>
    <t>SFB minimum CET1</t>
  </si>
  <si>
    <t>[S6]</t>
  </si>
  <si>
    <t>SFB minimum Tier 1</t>
  </si>
  <si>
    <t>SFB minimum CRAR</t>
  </si>
  <si>
    <t>Universal bank minimum CET1 incl. CCB</t>
  </si>
  <si>
    <t>[S19] 5.5% + 2.5% CCB</t>
  </si>
  <si>
    <t>Universal bank minimum Tier 1 incl. CCB</t>
  </si>
  <si>
    <t>[S19] 7% + 2.5% CCB</t>
  </si>
  <si>
    <t>Universal bank minimum CRAR incl. CCB</t>
  </si>
  <si>
    <t>[S19] 9% + 2.5% CCB</t>
  </si>
  <si>
    <t>Internal CET1 floor used in capital check</t>
  </si>
  <si>
    <t>Analyst assumption (management buffer)</t>
  </si>
  <si>
    <t>Minimum cash &amp; bank balances / deposits (CRR proxy)</t>
  </si>
  <si>
    <t>Assumption approximating CRR</t>
  </si>
  <si>
    <t>Maximum net advances / deposits (funding check)</t>
  </si>
  <si>
    <t>Analyst limit for the funding-supportability check</t>
  </si>
  <si>
    <t>E. Driver tables FY27E-FY31E (Base / Upside / Downside / Active)</t>
  </si>
  <si>
    <t>Driver</t>
  </si>
  <si>
    <t>Case</t>
  </si>
  <si>
    <t>FY27E</t>
  </si>
  <si>
    <t>FY28E</t>
  </si>
  <si>
    <t>FY29E</t>
  </si>
  <si>
    <t>FY30E</t>
  </si>
  <si>
    <t>FY31E</t>
  </si>
  <si>
    <t>FY26A</t>
  </si>
  <si>
    <t>Rationale / evidence</t>
  </si>
  <si>
    <t>Loan growth - Retail Secured (Wheels, MBL, Housing, Gold)</t>
  </si>
  <si>
    <t>Loan growth - Commercial Banking</t>
  </si>
  <si>
    <t>Loan growth - Inclusive Banking (MFI)</t>
  </si>
  <si>
    <t>Loan growth - Digital Unsecured (cards, PL)</t>
  </si>
  <si>
    <t>FY26 -10.4% (run-down/tightening) [S8]</t>
  </si>
  <si>
    <t>Loan growth - Others &amp; SME</t>
  </si>
  <si>
    <t>FY26 +32.8% from small base [S8]</t>
  </si>
  <si>
    <t>Net advances (balance sheet) / gross loan portfolio</t>
  </si>
  <si>
    <t>FY26 0.957 (134,276 / 140,327); FY25 0.926. GLP includes off-book/IBPC items and is gross of provisions. Held constant (judgement)</t>
  </si>
  <si>
    <t>Net advances / deposits (CD ratio)</t>
  </si>
  <si>
    <t>FY26 88.0% on balance-sheet basis (company CD ex-refinance 80%, incl. refinance 88% [S8]). Deposit growth therefore tracks loan growth</t>
  </si>
  <si>
    <t>CASA ratio</t>
  </si>
  <si>
    <t>Mar-26 28.4% (43,357 / 152,661) [S9]; Mar-24 33%, Mar-23 38% [S11]. Slow rebuild assumed</t>
  </si>
  <si>
    <t>Investments / deposits</t>
  </si>
  <si>
    <t>FY22-FY26 range 28.9-31.1% (SLR plus non-SLR liquidity; LCR 119% Q4FY26 [S9])</t>
  </si>
  <si>
    <t>Borrowings / deposits</t>
  </si>
  <si>
    <t>FY26 9.1%; includes refinance and Tier 2</t>
  </si>
  <si>
    <t>Other liabilities &amp; provisions / deposits</t>
  </si>
  <si>
    <t>FY26 3.47%</t>
  </si>
  <si>
    <t>Other assets / net advances</t>
  </si>
  <si>
    <t>FY26 2.06%</t>
  </si>
  <si>
    <t>Fixed assets growth</t>
  </si>
  <si>
    <t>FY26 +57% (step-up); normalised assumption</t>
  </si>
  <si>
    <t>Yield on average net advances</t>
  </si>
  <si>
    <t>FY26 13.02% (model def.; co. 13.1% [S8]). Q4FY26 GLP yield 13.8% but mix shifting to Commercial Banking (10.4%)</t>
  </si>
  <si>
    <t>Yield on average investments</t>
  </si>
  <si>
    <t>FY26 6.41%; FY22-FY26 5.98-6.92%</t>
  </si>
  <si>
    <t>Yield on opening cash &amp; bank balances (incl. other interest)</t>
  </si>
  <si>
    <t>FY26 2.94% on opening balance. Opening balance used to avoid circularity</t>
  </si>
  <si>
    <t>Cost of funds (interest expended / avg deposits + borrowings)</t>
  </si>
  <si>
    <t>FY26 6.30% (model def.; co. 6.75%, Q4 exit 6.49% [S8]); repo 5.25% per call [S10]. Management: CoF "may have bottomed"</t>
  </si>
  <si>
    <t>Other income / avg non-cash assets</t>
  </si>
  <si>
    <t>FY26 1.80%; FY22-FY26 range 1.44-2.01%</t>
  </si>
  <si>
    <t>Operating expenses / avg non-cash assets</t>
  </si>
  <si>
    <t>FY26 4.22% (= 4.01% of avg total assets). Management: cost/assets &lt;4% FY27, ~3.5% in 3-5 yrs [S10]</t>
  </si>
  <si>
    <t>Credit cost (provisions &amp; contingencies / avg GLP)</t>
  </si>
  <si>
    <t>FY26 1.26% (co. 0.96% of avg assets [S9]); FY25 1.99% of avg advances (merger-distorted). Management ~90bp of assets [S10] ~ 1.2% of GLP. Downside FY27 2.2% of GLP (~1.6% of assets) vs FY25 peak 1.34% of assets</t>
  </si>
  <si>
    <t>Effective tax rate</t>
  </si>
  <si>
    <t>FY26 24.0%; FY22-FY26 22.3-24.5%</t>
  </si>
  <si>
    <t>Dividend per share declared for the year (INR)</t>
  </si>
  <si>
    <t>FY26 INR1 recommended [S1]; FY24 INR1 [S3]. Paid in the following fiscal year</t>
  </si>
  <si>
    <t>ESOP / other equity additions (INR crore)</t>
  </si>
  <si>
    <t>FY26 residual equity movement excl. PAT ~Rs166 cr net of dividends paid (Hist row 86). ESOP expense adds back to equity; judgement</t>
  </si>
  <si>
    <t>ESOP shares allotted (crore)</t>
  </si>
  <si>
    <t>FY26: 37,36,590 shares allotted (0.37 cr) [S1]</t>
  </si>
  <si>
    <t>New equity raised (INR crore)</t>
  </si>
  <si>
    <t>AGM enabling approval sought for up to Rs7,500 cr [S1]; not assumed in any case - capital check shows whether needed</t>
  </si>
  <si>
    <t>Issue price as multiple of opening BVPS (if raising)</t>
  </si>
  <si>
    <t>Only used if equity is raised</t>
  </si>
  <si>
    <t>Credit RWA / total assets</t>
  </si>
  <si>
    <t>FY26 60.6%; FY22 52.7% -&gt; rising with commercial/secured-business mix [S6][S7]</t>
  </si>
  <si>
    <t>Tier 2 capital / Tier 1 capital</t>
  </si>
  <si>
    <t>FY26 10.8% [S6]</t>
  </si>
  <si>
    <t>Regulatory deductions / book equity</t>
  </si>
  <si>
    <t>FY26 1.9% (book equity 19,974 vs Tier 1 19,591); FY22-FY25 3.7-4.8%</t>
  </si>
  <si>
    <t>Gross NPA ratio (GNPA / GLP) - informational</t>
  </si>
  <si>
    <t>Mar-26 2.03% (reported, on gross advances) [S1]</t>
  </si>
  <si>
    <t>Specific provision coverage (1 - NNPA/GNPA) - informational</t>
  </si>
  <si>
    <t>Mar-26 64% excl. technical write-offs (1 - 990/2,756) [S1]</t>
  </si>
  <si>
    <t>Integrated Forecast (INR crore unless stated) - Scenario Shown:</t>
  </si>
  <si>
    <t>Columns C-E = actuals linked to Hist; F-J = forecasts driven by Inputs "Active" rows. Cash &amp; bank is the balancing item.</t>
  </si>
  <si>
    <t>Line item</t>
  </si>
  <si>
    <t>Unit</t>
  </si>
  <si>
    <t>FY24A</t>
  </si>
  <si>
    <t>FY25A</t>
  </si>
  <si>
    <t>Notes</t>
  </si>
  <si>
    <t>Fiscal year (numeric)</t>
  </si>
  <si>
    <t>Loan book (gross loan portfolio by segment, reported for Mar-25 and Mar-26 [S8])</t>
  </si>
  <si>
    <t>Segment growth drivers are on Inputs; segment yields (Mar-26): RSA 14.2%, CB 10.4%, IB 25.2%, DU 14.2%, O&amp;SME 8.0% [S8]</t>
  </si>
  <si>
    <t>GLP - Retail Secured Assets</t>
  </si>
  <si>
    <t>Rs cr</t>
  </si>
  <si>
    <t>[S8] loan-mix slide</t>
  </si>
  <si>
    <t>GLP - Commercial Banking</t>
  </si>
  <si>
    <t>GLP - Inclusive Banking (MFI)</t>
  </si>
  <si>
    <t>GLP - Digital Unsecured</t>
  </si>
  <si>
    <t>GLP - Others &amp; SME</t>
  </si>
  <si>
    <t>Gross loan portfolio (GLP)</t>
  </si>
  <si>
    <t>Mar-24 per [S11]; ties to reported 140,327 / 115,704</t>
  </si>
  <si>
    <t>GLP growth</t>
  </si>
  <si>
    <t>%</t>
  </si>
  <si>
    <t>FY25 includes Fincare book</t>
  </si>
  <si>
    <t>Net advances / GLP</t>
  </si>
  <si>
    <t>x</t>
  </si>
  <si>
    <t>Net advances (balance sheet)</t>
  </si>
  <si>
    <t>Net advances growth</t>
  </si>
  <si>
    <t>Funding</t>
  </si>
  <si>
    <t>Deposits</t>
  </si>
  <si>
    <t>Deposits = net advances / CD ratio</t>
  </si>
  <si>
    <t>Net advances / deposits</t>
  </si>
  <si>
    <t>CASA deposits</t>
  </si>
  <si>
    <t>Term deposits (incl. CDs)</t>
  </si>
  <si>
    <t>Deposit growth</t>
  </si>
  <si>
    <t>Borrowings</t>
  </si>
  <si>
    <t>Ratio to deposits (Inputs)</t>
  </si>
  <si>
    <t>Other liabilities &amp; provisions</t>
  </si>
  <si>
    <t>Shareholders' funds (from equity roll-forward)</t>
  </si>
  <si>
    <t>Total liabilities &amp; equity</t>
  </si>
  <si>
    <t>Assets</t>
  </si>
  <si>
    <t>Cash &amp; balances with RBI</t>
  </si>
  <si>
    <t>Actuals only; forecast shown combined in row 39</t>
  </si>
  <si>
    <t>Balances with banks &amp; money at call</t>
  </si>
  <si>
    <t>Cash &amp; bank balances (BALANCING ITEM)</t>
  </si>
  <si>
    <t>Plug = total L&amp;E - other assets; tested against minimum liquidity</t>
  </si>
  <si>
    <t>Investments</t>
  </si>
  <si>
    <t>Fixed assets</t>
  </si>
  <si>
    <t>Other assets</t>
  </si>
  <si>
    <t>Total assets</t>
  </si>
  <si>
    <t>Balance check: assets - (liabilities + equity)</t>
  </si>
  <si>
    <t>Must be 0</t>
  </si>
  <si>
    <t>Non-cash assets (adv + inv + fixed + other)</t>
  </si>
  <si>
    <t>Driver base for other income and opex (avoids circularity)</t>
  </si>
  <si>
    <t>Interest-earning assets (adv + inv + cash &amp; bank)</t>
  </si>
  <si>
    <t>Cash &amp; bank / deposits (vs minimum on Inputs)</t>
  </si>
  <si>
    <t>Income statement</t>
  </si>
  <si>
    <t>Interest on advances</t>
  </si>
  <si>
    <t>Income on investments</t>
  </si>
  <si>
    <t>Interest on RBI/bank balances &amp; other interest</t>
  </si>
  <si>
    <t>On opening balance</t>
  </si>
  <si>
    <t>Interest earned</t>
  </si>
  <si>
    <t xml:space="preserve">  Yield on avg net advances</t>
  </si>
  <si>
    <t xml:space="preserve">  Yield on avg investments</t>
  </si>
  <si>
    <t xml:space="preserve">  Yield on opening cash &amp; bank</t>
  </si>
  <si>
    <t>Interest expended</t>
  </si>
  <si>
    <t xml:space="preserve">  Cost of funds (avg deposits + borrowings)</t>
  </si>
  <si>
    <t>Net interest income</t>
  </si>
  <si>
    <t xml:space="preserve">  Other income / avg non-cash assets</t>
  </si>
  <si>
    <t xml:space="preserve">  Opex / avg non-cash assets</t>
  </si>
  <si>
    <t>Other income (fees, treasury, PSLC etc.)</t>
  </si>
  <si>
    <t xml:space="preserve">  Credit cost (provisions / avg GLP)</t>
  </si>
  <si>
    <t>FY25 distorted (opening GLP pre-merger)</t>
  </si>
  <si>
    <t>Operating expenses</t>
  </si>
  <si>
    <t>Pre-provision operating profit</t>
  </si>
  <si>
    <t>Provisions &amp; contingencies</t>
  </si>
  <si>
    <t xml:space="preserve">  Effective tax rate</t>
  </si>
  <si>
    <t>Profit before tax (after exceptional items)</t>
  </si>
  <si>
    <t>FY24 exceptional Rs76.8 cr</t>
  </si>
  <si>
    <t>Tax</t>
  </si>
  <si>
    <t>Net profit (PAT)</t>
  </si>
  <si>
    <t>PAT growth</t>
  </si>
  <si>
    <t>Equity roll-forward and per-share data</t>
  </si>
  <si>
    <t>Opening shareholders funds</t>
  </si>
  <si>
    <t>INR</t>
  </si>
  <si>
    <t>FY24, FY26 INR1 [S3][S1]; FY25 not captured</t>
  </si>
  <si>
    <t>Less: dividend paid in year (prior-year DPS x opening shares)</t>
  </si>
  <si>
    <t>Add: ESOP / other equity additions</t>
  </si>
  <si>
    <t>Add: new equity raised</t>
  </si>
  <si>
    <t>Add: PAT</t>
  </si>
  <si>
    <t>Closing shareholders funds</t>
  </si>
  <si>
    <t>Share capital (shares x INR10)</t>
  </si>
  <si>
    <t>Reserves &amp; surplus incl. ESOP o/s (roll-forward)</t>
  </si>
  <si>
    <t>Opening + PAT - dividends + additions - face value of new shares</t>
  </si>
  <si>
    <t>Shares outstanding, period end (crore)</t>
  </si>
  <si>
    <t>cr</t>
  </si>
  <si>
    <t>Book value per share (INR)</t>
  </si>
  <si>
    <t>EPS diluted (INR)</t>
  </si>
  <si>
    <t>Avg shares x (1 + FY26 dilution)</t>
  </si>
  <si>
    <t>ROE (PAT / avg equity)</t>
  </si>
  <si>
    <t>ROA (PAT / avg total assets)</t>
  </si>
  <si>
    <t>Risk-weighted assets and regulatory capital</t>
  </si>
  <si>
    <t>Credit RWA</t>
  </si>
  <si>
    <t>CET1 = Tier 1 capital</t>
  </si>
  <si>
    <t>Tier 2 capital</t>
  </si>
  <si>
    <t>Tier 2 / Tier 1</t>
  </si>
  <si>
    <t>Gross income (NII + other income)</t>
  </si>
  <si>
    <t>Universal bank flag (1 from transition year)</t>
  </si>
  <si>
    <t>flag</t>
  </si>
  <si>
    <t>Operational-risk RWA (from transition)</t>
  </si>
  <si>
    <t>12.5 x alpha x avg gross income of prior 3 years (assumption)</t>
  </si>
  <si>
    <t>Total RWA</t>
  </si>
  <si>
    <t>CET1 ratio (= Tier 1 ratio)</t>
  </si>
  <si>
    <t>CRAR</t>
  </si>
  <si>
    <t>Regulatory minimum CET1</t>
  </si>
  <si>
    <t>Regulatory minimum Tier 1</t>
  </si>
  <si>
    <t>Regulatory minimum CRAR</t>
  </si>
  <si>
    <t>CRAR headroom over minimum (pp)</t>
  </si>
  <si>
    <t>CET1 headroom over internal floor (pp)</t>
  </si>
  <si>
    <t>Capital surplus / (shortfall) vs binding requirement (Rs cr)</t>
  </si>
  <si>
    <t>Min of total-capital and CET1/Tier-1 surplus; negative = equity must be raised</t>
  </si>
  <si>
    <t>Internal capital generation (retained PAT / opening equity)</t>
  </si>
  <si>
    <t>RWA growth</t>
  </si>
  <si>
    <t>Asset quality (informational - does not drive P&amp;L)</t>
  </si>
  <si>
    <t>Gross NPA</t>
  </si>
  <si>
    <t>Net NPA</t>
  </si>
  <si>
    <t>Net NPA / equity</t>
  </si>
  <si>
    <t>Company-comparable outputs</t>
  </si>
  <si>
    <t>NIM (NII / avg interest-earning assets)</t>
  </si>
  <si>
    <t>Opex / avg total assets (company-style)</t>
  </si>
  <si>
    <t>Compare with management "&lt;4% in FY27"</t>
  </si>
  <si>
    <t>Credit cost / avg total assets (company-style)</t>
  </si>
  <si>
    <t>Compare with management ~0.9%</t>
  </si>
  <si>
    <t>Cost-to-income</t>
  </si>
  <si>
    <t>Dividend payout (DPS x shares / PAT)</t>
  </si>
  <si>
    <t>Valuation - Residual Income (Primary) and Justified P/B-ROE (cross-check)</t>
  </si>
  <si>
    <t>Key inputs</t>
  </si>
  <si>
    <t>Cost of equity</t>
  </si>
  <si>
    <t>Terminal growth</t>
  </si>
  <si>
    <t>Terminal ROE</t>
  </si>
  <si>
    <t>Book value 31-Mar-2026 (Rs cr)</t>
  </si>
  <si>
    <t>Days 31-Mar-26 to valuation date</t>
  </si>
  <si>
    <t>Diluted shares (cr)</t>
  </si>
  <si>
    <t>Share price (INR)</t>
  </si>
  <si>
    <t>Stage 1 (explicit, Model) and Stage 2 (fade)</t>
  </si>
  <si>
    <t>Year</t>
  </si>
  <si>
    <t>FY32</t>
  </si>
  <si>
    <t>FY33</t>
  </si>
  <si>
    <t>FY34</t>
  </si>
  <si>
    <t>FY35</t>
  </si>
  <si>
    <t>FY36</t>
  </si>
  <si>
    <t>FY37</t>
  </si>
  <si>
    <t>FY38</t>
  </si>
  <si>
    <t>FY39</t>
  </si>
  <si>
    <t>FY40</t>
  </si>
  <si>
    <t>FY41</t>
  </si>
  <si>
    <t>Period index t (years from 31-Mar-2026)</t>
  </si>
  <si>
    <t>Fade step i (0 in explicit stage)</t>
  </si>
  <si>
    <t>Opening book value</t>
  </si>
  <si>
    <t>ROE on opening book value</t>
  </si>
  <si>
    <t>Net income</t>
  </si>
  <si>
    <t>Closing book value</t>
  </si>
  <si>
    <t>Book value growth</t>
  </si>
  <si>
    <t>Residual income = NI - k x opening BV</t>
  </si>
  <si>
    <t>Discount factor 1/(1+k)^t</t>
  </si>
  <si>
    <t>PV of residual income</t>
  </si>
  <si>
    <t>Implied payout in fade (1 - BV growth / ROE)</t>
  </si>
  <si>
    <t>Note: in the explicit stage, BV also changes with ESOP additions (non-income); RI uses Model PAT and opening BV. Fade stage assumes clean surplus.</t>
  </si>
  <si>
    <t>Residual income value</t>
  </si>
  <si>
    <t>Book value at 31-Mar-2026</t>
  </si>
  <si>
    <t>PV of RI - explicit FY27-FY31</t>
  </si>
  <si>
    <t>PV of RI - fade FY32-FY41</t>
  </si>
  <si>
    <t>Continuing value at FY41: (ROE_T - k) x BV_FY41 / (k - g)</t>
  </si>
  <si>
    <t>PV of continuing value</t>
  </si>
  <si>
    <t>Equity value at 31-Mar-2026</t>
  </si>
  <si>
    <t>Equity value at valuation date (rolled forward at k)</t>
  </si>
  <si>
    <t>Value per diluted share (INR)</t>
  </si>
  <si>
    <t>Implied difference vs market price</t>
  </si>
  <si>
    <t>Implied P/B on Mar-26 BV</t>
  </si>
  <si>
    <t>Implied P/E on FY27E EPS</t>
  </si>
  <si>
    <t>Share of value from continuing value</t>
  </si>
  <si>
    <t>Justified P/B - ROE framework: P/B = (ROE - g) / (k - g)</t>
  </si>
  <si>
    <t>Sustainable ROE basis</t>
  </si>
  <si>
    <t>ROE</t>
  </si>
  <si>
    <t>P/B</t>
  </si>
  <si>
    <t>Value/share</t>
  </si>
  <si>
    <t>vs price</t>
  </si>
  <si>
    <t>FY26A reported ROE (14.2%)</t>
  </si>
  <si>
    <t>FY27E-FY31E average model ROE</t>
  </si>
  <si>
    <t>Terminal ROE (Inputs)</t>
  </si>
  <si>
    <t>Market-implied expectations</t>
  </si>
  <si>
    <t>Market P/B on Mar-26 BV (price x diluted shares / BV)</t>
  </si>
  <si>
    <t>Implied sustainable ROE at k and g: g + P/B x (k - g)</t>
  </si>
  <si>
    <t>Implied cost of equity at avg FY27-31 ROE and g: g + (ROE - g)/P/B</t>
  </si>
  <si>
    <t>Market P/E on FY26 diluted EPS</t>
  </si>
  <si>
    <t>Market P/E on FY27E diluted EPS (model)</t>
  </si>
  <si>
    <t>Peer cross-check (P/B applied to AU Mar-26 BVPS)</t>
  </si>
  <si>
    <t>Basis</t>
  </si>
  <si>
    <t>SFB median P/B</t>
  </si>
  <si>
    <t>Private-bank median P/B</t>
  </si>
  <si>
    <t>All-peer median P/B</t>
  </si>
  <si>
    <t>Peer P/B-ROE regression at AU ROE</t>
  </si>
  <si>
    <t>Peer multiples are shown for context, not averaged mechanically: AU trades at a premium to every listed peer on P/B (see note for reasons).</t>
  </si>
  <si>
    <t>Sensitivity Analysis</t>
  </si>
  <si>
    <t>CoE \ terminal ROE</t>
  </si>
  <si>
    <t>CoE \ terminal g</t>
  </si>
  <si>
    <t>Metric</t>
  </si>
  <si>
    <t>Historical standalone financials, FY21-FY26 (INR crore unless stated)</t>
  </si>
  <si>
    <t>Reported figures in blue (converted from INR lakh /100). Calculated rows in black. FY25 not comparable (Fincare amalgamation, pooling). FY21 = regrouped comparative per FY22 filing.</t>
  </si>
  <si>
    <t>FY21</t>
  </si>
  <si>
    <t>FY22</t>
  </si>
  <si>
    <t>FY23</t>
  </si>
  <si>
    <t>FY24</t>
  </si>
  <si>
    <t>FY25</t>
  </si>
  <si>
    <t>FY26</t>
  </si>
  <si>
    <t>Source / note</t>
  </si>
  <si>
    <t>Interest/discount on advances</t>
  </si>
  <si>
    <t>[S4] FY21-22, [S3] FY23-24, [S1] FY25-26; verified [S2][S5]</t>
  </si>
  <si>
    <t>Interest on RBI balances &amp; inter-bank funds</t>
  </si>
  <si>
    <t>Other interest</t>
  </si>
  <si>
    <t>Calc; ties to reported (Checks)</t>
  </si>
  <si>
    <t>[S4] FY21-22, [S3] FY23-24, [S1] FY25-26; verified [S2][S5]; FY24 per XBRL</t>
  </si>
  <si>
    <t>Net interest income (NII)</t>
  </si>
  <si>
    <t>Calc</t>
  </si>
  <si>
    <t>Other income</t>
  </si>
  <si>
    <t>[S4] FY21-22, [S3] FY23-24, [S1] FY25-26; verified [S2][S5]. FY21 includes Aavas stake-sale gain (co. presentation) - one-off</t>
  </si>
  <si>
    <t>Net total income</t>
  </si>
  <si>
    <t>Employee cost</t>
  </si>
  <si>
    <t>Other operating expenses</t>
  </si>
  <si>
    <t>Pre-provision operating profit (PPOP)</t>
  </si>
  <si>
    <t>Provisions &amp; contingencies (ex tax)</t>
  </si>
  <si>
    <t>Exceptional items (expense)</t>
  </si>
  <si>
    <t>FY24: Fincare merger expenses Rs76.8 cr [S3][S5]</t>
  </si>
  <si>
    <t>Profit before tax</t>
  </si>
  <si>
    <t>Tax expense</t>
  </si>
  <si>
    <t>Calc; ties to reported PAT (Checks)</t>
  </si>
  <si>
    <t>Net profit as reported</t>
  </si>
  <si>
    <t>Interest earned as reported</t>
  </si>
  <si>
    <t>PBT as reported</t>
  </si>
  <si>
    <t>Balance sheet (31 March)</t>
  </si>
  <si>
    <t>[S4] FY21-22, [S3] FY23-24, [S1] FY25-26</t>
  </si>
  <si>
    <t>Advances (net)</t>
  </si>
  <si>
    <t>Share capital (face value INR10)</t>
  </si>
  <si>
    <t>Employee stock options outstanding</t>
  </si>
  <si>
    <t>Reserves &amp; surplus</t>
  </si>
  <si>
    <t>Shareholders' funds (net worth incl. ESOP o/s)</t>
  </si>
  <si>
    <t>Calc; FY26 = Rs19,974 cr = co. shareholders funds [S9]</t>
  </si>
  <si>
    <t>Total as reported</t>
  </si>
  <si>
    <t>Operating data (company presentations - see confidence in Sources)</t>
  </si>
  <si>
    <t>Gross loan portfolio (GLP, incl. off-book)</t>
  </si>
  <si>
    <t>n/a</t>
  </si>
  <si>
    <t>[S11] Mar-24 segment table sum; [S8] Mar-25, Mar-26</t>
  </si>
  <si>
    <t>[S11] FY23-24; [S9] FY26. FY25 not captured (co. states CASA +20% YoY -&gt; ~36,100)</t>
  </si>
  <si>
    <t>CASA ratio (reported)</t>
  </si>
  <si>
    <t>[S12] FY21-22; [S11] FY23-24; [S8] FY25; [S9] FY26</t>
  </si>
  <si>
    <t>NIM (reported, company definition)</t>
  </si>
  <si>
    <t>Cost of funds (reported)</t>
  </si>
  <si>
    <t>[S11] FY23-24; [S8] FY25-26</t>
  </si>
  <si>
    <t>ROE (reported)</t>
  </si>
  <si>
    <t>[S8] multi-year slide; FY26 14.2% also [S9]</t>
  </si>
  <si>
    <t>Regulatory capital (Basel II, SFB framework)</t>
  </si>
  <si>
    <t>Tier 1 capital (= CET1; no AT1)</t>
  </si>
  <si>
    <t>[S7] FY22-25; [S6] FY26</t>
  </si>
  <si>
    <t>[S7][S6]</t>
  </si>
  <si>
    <t>Risk-weighted assets (credit risk only for SFBs)</t>
  </si>
  <si>
    <t>CRAR (calculated)</t>
  </si>
  <si>
    <t>Tier 1 / CET1 ratio (calculated)</t>
  </si>
  <si>
    <t>Calc; FY26 16.86% = reported CET1 [S2]</t>
  </si>
  <si>
    <t>CRAR (reported in results)</t>
  </si>
  <si>
    <t>[S4][S3][S1]</t>
  </si>
  <si>
    <t>RWA / total assets</t>
  </si>
  <si>
    <t>Calculated ratios (model definitions; see DataDict)</t>
  </si>
  <si>
    <t>Growth in net advances</t>
  </si>
  <si>
    <t>FY25 inflated by amalgamation</t>
  </si>
  <si>
    <t>Growth in deposits</t>
  </si>
  <si>
    <t>Yield on avg net advances</t>
  </si>
  <si>
    <t>Cost of funds on avg (deposits + borrowings)</t>
  </si>
  <si>
    <t>NIM: NII / avg interest-earning assets (adv+inv+cash+bank)</t>
  </si>
  <si>
    <t>Model def. (co. uses daily avg incl. off-book)</t>
  </si>
  <si>
    <t>Cost-to-income (opex / net total income)</t>
  </si>
  <si>
    <t>Opex / avg total assets</t>
  </si>
  <si>
    <t>Credit cost: provisions / avg net advances</t>
  </si>
  <si>
    <t>EPS basic (as reported)</t>
  </si>
  <si>
    <t>FY21-22 pre 1:1 bonus [S4]</t>
  </si>
  <si>
    <t>EPS diluted (as reported)</t>
  </si>
  <si>
    <t>Bonus adjustment factor</t>
  </si>
  <si>
    <t>1:1 bonus approved with FY22 results [S4]</t>
  </si>
  <si>
    <t>EPS diluted, bonus-adjusted</t>
  </si>
  <si>
    <t>GNPA ratio (reported)</t>
  </si>
  <si>
    <t>NNPA ratio (reported)</t>
  </si>
  <si>
    <t>Specific PCR (1 - NNPA/GNPA)</t>
  </si>
  <si>
    <t>Calc (excl. technical write-offs)</t>
  </si>
  <si>
    <t>ROA: PAT / avg total assets</t>
  </si>
  <si>
    <t>Model def.; co. reports 1.57% FY26 on its averaging</t>
  </si>
  <si>
    <t>ROE: PAT / avg shareholders funds</t>
  </si>
  <si>
    <t>FY25 overstated: opening equity excludes Fincare (pooling)</t>
  </si>
  <si>
    <t>Leverage: total assets / equity</t>
  </si>
  <si>
    <t>Book value per share</t>
  </si>
  <si>
    <t>FY21-22 pre-bonus share count</t>
  </si>
  <si>
    <t>Equity roll-forward: other movements (issuance, merger, ESOP, dividends paid, reserves)</t>
  </si>
  <si>
    <t>Calc residual (closing - opening - PAT)</t>
  </si>
  <si>
    <r>
      <t xml:space="preserve">Peer Comparison - FY26 Audited Standalone </t>
    </r>
    <r>
      <rPr>
        <b/>
        <sz val="8"/>
        <color rgb="FF1F3864"/>
        <rFont val="Calibri"/>
        <family val="2"/>
        <scheme val="minor"/>
      </rPr>
      <t>(NSE XBRL [S17]); prices 29-May-2026 [S15]; INR crore unless stated</t>
    </r>
  </si>
  <si>
    <t>Book value = share capital + reserves &amp; surplus (incl. ESOP o/s where tagged); not tangible BV. ROE = FY26 PAT / avg (Mar-25, Mar-26) equity. NII/assets = (interest earned - expended) / avg total assets.</t>
  </si>
  <si>
    <t>Raw XBRL values (INR crore = rupees / 1e7; ratios as filed) [S17]</t>
  </si>
  <si>
    <t>Bank</t>
  </si>
  <si>
    <t>Symbol</t>
  </si>
  <si>
    <t>Group</t>
  </si>
  <si>
    <t>Price (INR)</t>
  </si>
  <si>
    <t>Shares (cr)</t>
  </si>
  <si>
    <t>Mkt cap</t>
  </si>
  <si>
    <t>Book value</t>
  </si>
  <si>
    <t>FY26 PAT</t>
  </si>
  <si>
    <t>P/E</t>
  </si>
  <si>
    <t>ROA (rep.)</t>
  </si>
  <si>
    <t>NII/avg assets</t>
  </si>
  <si>
    <t>GNPA %</t>
  </si>
  <si>
    <t>NNPA %</t>
  </si>
  <si>
    <t>CET1 %</t>
  </si>
  <si>
    <t>Adv growth</t>
  </si>
  <si>
    <t>Dep growth</t>
  </si>
  <si>
    <t>In regr.</t>
  </si>
  <si>
    <t>PaidUp (Rs)</t>
  </si>
  <si>
    <t>Face value</t>
  </si>
  <si>
    <t>Capital Mar26</t>
  </si>
  <si>
    <t>Reserves Mar26</t>
  </si>
  <si>
    <t>Capital Mar25</t>
  </si>
  <si>
    <t>Reserves Mar25</t>
  </si>
  <si>
    <t>PAT FY26</t>
  </si>
  <si>
    <t>Int earned</t>
  </si>
  <si>
    <t>Int expended</t>
  </si>
  <si>
    <t>Assets Mar26</t>
  </si>
  <si>
    <t>Assets Mar25</t>
  </si>
  <si>
    <t>Adv Mar26</t>
  </si>
  <si>
    <t>Adv Mar25</t>
  </si>
  <si>
    <t>Dep Mar26</t>
  </si>
  <si>
    <t>Dep Mar25</t>
  </si>
  <si>
    <t>GNPA%</t>
  </si>
  <si>
    <t>NNPA%</t>
  </si>
  <si>
    <t>CET1</t>
  </si>
  <si>
    <t>ROA</t>
  </si>
  <si>
    <t>Regr ROE</t>
  </si>
  <si>
    <t>Regr P/B</t>
  </si>
  <si>
    <t>P/E if num</t>
  </si>
  <si>
    <t>AU Small Finance Bank</t>
  </si>
  <si>
    <t>AUBANK</t>
  </si>
  <si>
    <t>Subject</t>
  </si>
  <si>
    <t>Equitas SFB</t>
  </si>
  <si>
    <t>EQUITASBNK</t>
  </si>
  <si>
    <t>SFB</t>
  </si>
  <si>
    <t>Ujjivan SFB</t>
  </si>
  <si>
    <t>UJJIVANSFB</t>
  </si>
  <si>
    <t>Jana SFB</t>
  </si>
  <si>
    <t>JSFB</t>
  </si>
  <si>
    <t>Capital SFB</t>
  </si>
  <si>
    <t>CAPITALSFB</t>
  </si>
  <si>
    <t>Suryoday SFB</t>
  </si>
  <si>
    <t>SURYODAY</t>
  </si>
  <si>
    <t>ESAF SFB</t>
  </si>
  <si>
    <t>ESAFSFB</t>
  </si>
  <si>
    <t>Utkarsh SFB</t>
  </si>
  <si>
    <t>UTKARSHBNK</t>
  </si>
  <si>
    <t>IDFC FIRST Bank</t>
  </si>
  <si>
    <t>IDFCFIRSTB</t>
  </si>
  <si>
    <t>Private</t>
  </si>
  <si>
    <t>Bandhan Bank</t>
  </si>
  <si>
    <t>BANDHANBNK</t>
  </si>
  <si>
    <t>RBL Bank</t>
  </si>
  <si>
    <t>RBLBANK</t>
  </si>
  <si>
    <t>Federal Bank</t>
  </si>
  <si>
    <t>FEDERALBNK</t>
  </si>
  <si>
    <t>City Union Bank</t>
  </si>
  <si>
    <t>CUB</t>
  </si>
  <si>
    <t>Group statistics</t>
  </si>
  <si>
    <t>SFB median (7 peers)</t>
  </si>
  <si>
    <t>Private median (5 peers)</t>
  </si>
  <si>
    <t>All-peer median (12)</t>
  </si>
  <si>
    <t>P/E medians ignore loss-makers (n.m.).</t>
  </si>
  <si>
    <t>P/B vs ROE cross-section (profitable peers with ROE &gt; 5%)</t>
  </si>
  <si>
    <t>Peer rows used (1 = include)</t>
  </si>
  <si>
    <t>Slope (P/B per 1.00 of ROE)</t>
  </si>
  <si>
    <t>Intercept</t>
  </si>
  <si>
    <t>R-squared</t>
  </si>
  <si>
    <t>Peer-implied P/B at AU FY26 ROE</t>
  </si>
  <si>
    <t>AU actual P/B</t>
  </si>
  <si>
    <t>Caution: small sample, single year, ROE depressed by one-offs for several peers; regression is descriptive only.</t>
  </si>
  <si>
    <t>Beta: AUBANK vs NIFTY 50, weekly closes 31-May-2024 to 29-May-2026 [S15][S16]</t>
  </si>
  <si>
    <t>Week end</t>
  </si>
  <si>
    <t>AUBANK close</t>
  </si>
  <si>
    <t>NIFTY 50</t>
  </si>
  <si>
    <t>AU log ret</t>
  </si>
  <si>
    <t>NIFTY log ret</t>
  </si>
  <si>
    <t>Result</t>
  </si>
  <si>
    <t>2024-05-31</t>
  </si>
  <si>
    <t>2024-06-07</t>
  </si>
  <si>
    <t>2024-06-14</t>
  </si>
  <si>
    <t>2024-06-21</t>
  </si>
  <si>
    <t>F4 = raw OLS beta (used); F5 = correlation; F6 = Blume-adjusted (reference). Week-end = last trading day of each week.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</si>
  <si>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</si>
  <si>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</si>
  <si>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</si>
  <si>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</si>
  <si>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</si>
  <si>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</si>
  <si>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</si>
  <si>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</si>
  <si>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</si>
  <si>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</si>
  <si>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</si>
  <si>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</si>
  <si>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</si>
  <si>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</si>
  <si>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</si>
  <si>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</si>
  <si>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</si>
  <si>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</si>
  <si>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</si>
  <si>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</si>
  <si>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2024-11-14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</si>
  <si>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</si>
  <si>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</si>
  <si>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</si>
  <si>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</si>
  <si>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</si>
  <si>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</si>
  <si>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</si>
  <si>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</si>
  <si>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</si>
  <si>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</si>
  <si>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2025-02-01</t>
  </si>
  <si>
    <t>2025-02-07</t>
  </si>
  <si>
    <t>2025-02-14</t>
  </si>
  <si>
    <t>2025-02-21</t>
  </si>
  <si>
    <t>2025-02-28</t>
  </si>
  <si>
    <t>2025-03-07</t>
  </si>
  <si>
    <t>2025-03-13</t>
  </si>
  <si>
    <t>2025-03-21</t>
  </si>
  <si>
    <t>2025-03-28</t>
  </si>
  <si>
    <t>2025-04-04</t>
  </si>
  <si>
    <t>2025-04-11</t>
  </si>
  <si>
    <t>2025-04-17</t>
  </si>
  <si>
    <t>2025-04-25</t>
  </si>
  <si>
    <t>2025-05-02</t>
  </si>
  <si>
    <t>2025-05-09</t>
  </si>
  <si>
    <t>2025-05-16</t>
  </si>
  <si>
    <t>2025-05-23</t>
  </si>
  <si>
    <t>2025-05-30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</si>
  <si>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</si>
  <si>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</si>
  <si>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</si>
  <si>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</si>
  <si>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</si>
  <si>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</si>
  <si>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</si>
  <si>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</si>
  <si>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</si>
  <si>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</si>
  <si>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2025-08-14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</si>
  <si>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</si>
  <si>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</si>
  <si>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</si>
  <si>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</si>
  <si>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</si>
  <si>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</si>
  <si>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</si>
  <si>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2025-10-10</t>
  </si>
  <si>
    <t>2025-10-17</t>
  </si>
  <si>
    <t>2025-10-24</t>
  </si>
  <si>
    <t>2025-10-31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</si>
  <si>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</si>
  <si>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</si>
  <si>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</si>
  <si>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</si>
  <si>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</si>
  <si>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</si>
  <si>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</si>
  <si>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</si>
  <si>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</si>
  <si>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</si>
  <si>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</si>
  <si>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</si>
  <si>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2026-02-01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</si>
  <si>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</si>
  <si>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</si>
  <si>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</si>
  <si>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</si>
  <si>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</si>
  <si>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</si>
  <si>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</si>
  <si>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</si>
  <si>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2026-04-02</t>
  </si>
  <si>
    <t>2026-04-10</t>
  </si>
  <si>
    <t>2026-04-17</t>
  </si>
  <si>
    <t>2026-04-24</t>
  </si>
  <si>
    <t>2026-04-30</t>
  </si>
  <si>
    <t>2026-05-08</t>
  </si>
  <si>
    <t>2026-05-15</t>
  </si>
  <si>
    <t>2026-05-22</t>
  </si>
  <si>
    <t>2026-05-29</t>
  </si>
  <si>
    <t>ID</t>
  </si>
  <si>
    <t>Document</t>
  </si>
  <si>
    <t>Period</t>
  </si>
  <si>
    <t>Published</t>
  </si>
  <si>
    <t>Page / table / tag</t>
  </si>
  <si>
    <t>URL</t>
  </si>
  <si>
    <t>Units</t>
  </si>
  <si>
    <t>Used for</t>
  </si>
  <si>
    <t>S1</t>
  </si>
  <si>
    <t>AU SFB - Audited financial results Q4 &amp; FY26 (Reg 33), standalone</t>
  </si>
  <si>
    <t>FY26, FY25</t>
  </si>
  <si>
    <t>27-Apr-2026</t>
  </si>
  <si>
    <t>Statement of results; Statement of assets &amp; liabilities; notes (dividend, ESOP allotment, CFO, fund-raise enabling)</t>
  </si>
  <si>
    <t>https://www.au.bank.in/pdfs/quaterly-reports/year-25/financial-result/Q4FY26-Result.pdf</t>
  </si>
  <si>
    <t>INR lakh</t>
  </si>
  <si>
    <t>Hist FY25-FY26 P&amp;L/BS, EPS, NPA, CRAR</t>
  </si>
  <si>
    <t>S2</t>
  </si>
  <si>
    <t>NSE Integrated Filing - Financials XBRL, AU SFB, standalone, FY26 audited</t>
  </si>
  <si>
    <t>XBRL tags (InterestEarned, ..., CET1Ratio, Deposits, Advances)</t>
  </si>
  <si>
    <t>https://nsearchives.nseindia.com/corporate/xbrl/INTEGRATED_FILING_BANKING_1659849_27042026112414_WEB.xml</t>
  </si>
  <si>
    <t>INR (rupees)</t>
  </si>
  <si>
    <t>Hist FY26 verification; Peers AU row</t>
  </si>
  <si>
    <t>S3</t>
  </si>
  <si>
    <t>AU SFB - Audited financial results Q4 &amp; FY24 (standalone)</t>
  </si>
  <si>
    <t>FY24, FY23</t>
  </si>
  <si>
    <t>24-Apr-2024</t>
  </si>
  <si>
    <t>Statement of results; assets &amp; liabilities; notes (Fincare scheme, exceptional item)</t>
  </si>
  <si>
    <t>https://www.au.bank.in/pdfs/quaterly-reports/year-23/financial-result/Q4FY24-Financial-Result.pdf</t>
  </si>
  <si>
    <t>Hist FY23-FY24</t>
  </si>
  <si>
    <t>S4</t>
  </si>
  <si>
    <t>AU SFB - Audited financial results Q4 &amp; FY22 (standalone)</t>
  </si>
  <si>
    <t>FY22, FY21 (regrouped)</t>
  </si>
  <si>
    <t>26-Apr-2022</t>
  </si>
  <si>
    <t>Statement of results; assets &amp; liabilities; notes (dividend, 1:1 bonus)</t>
  </si>
  <si>
    <t>https://www.au.bank.in/pdfs/quaterly-reports/year-21/financial-result/Q4FY22-Financial-Results.pdf</t>
  </si>
  <si>
    <t>Hist FY21-FY22</t>
  </si>
  <si>
    <t>S5</t>
  </si>
  <si>
    <t>NSE legacy results XBRL, AU SFB, Q4 filings FY21-FY24 (annual context)</t>
  </si>
  <si>
    <t>FY21-FY24</t>
  </si>
  <si>
    <t>30-Apr-2021; 27-Apr-2022; 26-Apr-2023; 25-Apr-2024</t>
  </si>
  <si>
    <t>Context FourD</t>
  </si>
  <si>
    <t>https://nsearchives.nseindia.com/corporate/xbrl/BANKING_69558_445061_30042021021223_WEB.xml ; ..._83651_648527_27042022042456_WEB.xml ; ..._90859_833207_26042023041609.xml ; ..._104695_1107810_25042024013649.xml</t>
  </si>
  <si>
    <t>Verification of FY21-FY24 P&amp;L</t>
  </si>
  <si>
    <t>S6</t>
  </si>
  <si>
    <t>AU SFB - Basel II Pillar 3 disclosures at 31-Mar-2026</t>
  </si>
  <si>
    <t>Mar-26</t>
  </si>
  <si>
    <t>not stated on document (year-end disclosure)</t>
  </si>
  <si>
    <t>Capital funds, RWA, DF-2 ratios; regulatory minima (CET1 6%, Tier-1 7.5%, CRAR 15%)</t>
  </si>
  <si>
    <t>https://www.au.bank.in/pdfs/regulatory-disclosures/2025-2026/PILLAR-3-Disclosures-at_March-31-2026.pdf</t>
  </si>
  <si>
    <t>INR crore</t>
  </si>
  <si>
    <t>Tier 1, Tier 2, RWA FY26; SFB minima</t>
  </si>
  <si>
    <t>S7</t>
  </si>
  <si>
    <t>AU SFB - Basel II Pillar 3 disclosures at 31-Mar-2025 / 2024 / 2023 / 2022</t>
  </si>
  <si>
    <t>Mar-22 to Mar-25</t>
  </si>
  <si>
    <t>year-end disclosures</t>
  </si>
  <si>
    <t>Capital funds position; capital requirement table</t>
  </si>
  <si>
    <t>https://www.au.bank.in/pdfs/regulatory-disclosures/2024-2025/basel-ll-pillar-lll-disclosures-basel-ii-pillar-3-disclosuresat-march-31-2025.pdf (and 2023-24, 2022-23, 2021-22 equivalents on the Regulatory Disclosures page)</t>
  </si>
  <si>
    <t>Tier 1, Tier 2, RWA FY22-FY25</t>
  </si>
  <si>
    <t>S8</t>
  </si>
  <si>
    <t>AU SFB - Q4FY26 earnings presentation</t>
  </si>
  <si>
    <t>Q4FY26 / FY26</t>
  </si>
  <si>
    <t>Loan-mix slide (GLP by segment Mar-26/Dec-25/Mar-25); deposits; NIM/CoF; asset quality</t>
  </si>
  <si>
    <t>https://www.au.bank.in/pdfs/quaterly-reports/year-25/investors-presentation/Q4FY26-PPT.pdf</t>
  </si>
  <si>
    <t>Segment GLP, company-reported NIM, CoF, CASA</t>
  </si>
  <si>
    <t>S9</t>
  </si>
  <si>
    <t>AU SFB - Q4FY26 results press release</t>
  </si>
  <si>
    <t>Headline metrics</t>
  </si>
  <si>
    <t>https://www.au.bank.in/pdfs/press-release/2026/PR-final-27th-Apr.pdf</t>
  </si>
  <si>
    <t>CASA 43,357 cr (28%), GLP 140,327, BVPS 267, ROE 14.2%, credit cost 0.96% of avg assets, LCR 119%, touchpoints 2,790</t>
  </si>
  <si>
    <t>S10</t>
  </si>
  <si>
    <t>AU SFB - Q4FY26 earnings call transcript</t>
  </si>
  <si>
    <t>Q4FY26</t>
  </si>
  <si>
    <t>Management commentary</t>
  </si>
  <si>
    <t>https://www.au.bank.in/pdfs/quaterly-reports/year-25/call-transcript/AUSFB-Q4FY26-Transcript.pdf</t>
  </si>
  <si>
    <t>Guidance: growth 2-2.5x nominal GDP; ROA ~1.8% aspiration FY27; credit cost ~90bp (of assets); opex/assets &lt;4% FY27</t>
  </si>
  <si>
    <t>S11</t>
  </si>
  <si>
    <t>AU SFB - Q4FY24 investor presentation</t>
  </si>
  <si>
    <t>Q4FY24 / FY24</t>
  </si>
  <si>
    <t>CASA, NIM, CoF, loan mix Mar-24</t>
  </si>
  <si>
    <t>https://www.au.bank.in/pdfs/quaterly-reports/year-23/investors-presentation/Q4FY24-investor-ppt-vf.pdf</t>
  </si>
  <si>
    <t>CASA FY23-FY24, company NIM/CoF FY23-FY24, GLP Mar-24</t>
  </si>
  <si>
    <t>S12</t>
  </si>
  <si>
    <t>AU SFB - Q4FY22 / Q4FY23 investor presentations</t>
  </si>
  <si>
    <t>FY21-FY23</t>
  </si>
  <si>
    <t>26-Apr-2022; Apr-2023</t>
  </si>
  <si>
    <t>CASA ratio, NIM</t>
  </si>
  <si>
    <t>https://www.au.bank.in/pdfs/quaterly-reports/year-21/investors-presentation/Q4FY22-investor-presentation.pdf ; https://www.au.bank.in/pdfs/quaterly-reports/year-22/investors-presentation/QR-Investor-Presentation-2022-2023-q4.pdf</t>
  </si>
  <si>
    <t>CASA ratio FY21-FY22 only</t>
  </si>
  <si>
    <t>S13</t>
  </si>
  <si>
    <t>AU SFB - Q1FY25 financial results (notes on Fincare amalgamation)</t>
  </si>
  <si>
    <t>Q1FY25</t>
  </si>
  <si>
    <t>25-Jul-2024</t>
  </si>
  <si>
    <t>Note: scheme effective 1-Apr-2024; 7,35,25,352 shares issued (579 AU per 2,000 Fincare); pooling of interests (AS-14); Rs18,045 lakh to amalgamation reserve; results not strictly comparable</t>
  </si>
  <si>
    <t>https://www.au.bank.in/pdfs/quaterly-reports/year-24/financial-result/Q1-FY25Result.pdf</t>
  </si>
  <si>
    <t>Comparability notes</t>
  </si>
  <si>
    <t>S14</t>
  </si>
  <si>
    <t>AU SFB press release - RBI in-principle approval to become a universal bank</t>
  </si>
  <si>
    <t>7-Aug-2025</t>
  </si>
  <si>
    <t>Full release</t>
  </si>
  <si>
    <t>https://www.au.bank.in/pdfs/press-release/2025/au-small-finance-bank-makes-history-receives-in-principle-approval-from-the-rbi-to-become-a-universal-bank---7th-august-2025.pdf</t>
  </si>
  <si>
    <t>Universal bank transition status (final application filed Mar-2026 per S1)</t>
  </si>
  <si>
    <t>S15</t>
  </si>
  <si>
    <t>NSE historical equity prices (EQ series) - AUBANK and 12 peers</t>
  </si>
  <si>
    <t>to 29-May-2026</t>
  </si>
  <si>
    <t>daily</t>
  </si>
  <si>
    <t>CH_CLOSING_PRICE</t>
  </si>
  <si>
    <t>INR per share</t>
  </si>
  <si>
    <t>Market price, peer prices, 52-week range</t>
  </si>
  <si>
    <t>S16</t>
  </si>
  <si>
    <t>NSE NIFTY 50 index history</t>
  </si>
  <si>
    <t>29-May-2024 to 29-May-2026</t>
  </si>
  <si>
    <t>EOD_CLOSE_INDEX_VAL</t>
  </si>
  <si>
    <t>index points</t>
  </si>
  <si>
    <t>Beta regression</t>
  </si>
  <si>
    <t>S17</t>
  </si>
  <si>
    <t>FY26 and FY25</t>
  </si>
  <si>
    <t>25-Apr-2026 to 9-May-2026 (FY26); Apr-May 2025 (FY25)</t>
  </si>
  <si>
    <t>Peer table</t>
  </si>
  <si>
    <t>S18</t>
  </si>
  <si>
    <t>RBI press releases - Government Stock auction results</t>
  </si>
  <si>
    <t>22-May-2026 &amp;
29-May-2026</t>
  </si>
  <si>
    <t>22-May-2026;
29-May-2026</t>
  </si>
  <si>
    <t>PR 2026-2027/345 (29-May: 6.68% GS 2040 cut-off yield 7.3439%);
PR 2026-2027/310 (22-May: 6.68% GS 2033 cut-off yield 7.0701%)</t>
  </si>
  <si>
    <t>% p.a.</t>
  </si>
  <si>
    <t>Risk-free rate (10-year point interpolated between 7-yr and 14-yr auction yields)</t>
  </si>
  <si>
    <t>S19</t>
  </si>
  <si>
    <t>RBI - Guidelines for voluntary transition of SFBs to universal banks (26-Apr-2024) and Basel III capital regulations (master circular)</t>
  </si>
  <si>
    <t>Universal bank minimum CET1 5.5% + CCB 2.5%, Tier-1 7% + CCB, CRAR 9% + CCB</t>
  </si>
  <si>
    <t>Post-transition regulatory minima (assumption)</t>
  </si>
  <si>
    <t>Model Integrity Checks</t>
  </si>
  <si>
    <t>Overall Status</t>
  </si>
  <si>
    <t>Hist: interest earned sub-items sum to reported (all years, abs diff Rs cr)</t>
  </si>
  <si>
    <t>Hist: PBT rebuilt from components equals reported PBT</t>
  </si>
  <si>
    <t>Hist: PAT rebuilt equals reported PAT</t>
  </si>
  <si>
    <t>Hist: total assets = total liabilities &amp; equity (sum of abs diffs)</t>
  </si>
  <si>
    <t>Hist: total liabilities &amp; equity equals reported total</t>
  </si>
  <si>
    <t>Hist: CRAR from Pillar 3 capital/RWA equals reported CRAR (max abs diff, FY22-26)</t>
  </si>
  <si>
    <t>Model: FY26A segment GLP sums to reported GLP 140,327</t>
  </si>
  <si>
    <t>Model: FY26A PAT equals Hist PAT</t>
  </si>
  <si>
    <t>Model: balance sheet balances every year (sum of abs diffs)</t>
  </si>
  <si>
    <t>Model: equity roll-forward closing = capital + reserves (forecast)</t>
  </si>
  <si>
    <t>Model: retained-earnings movement = PAT - dividends paid (forecast)</t>
  </si>
  <si>
    <t>Model: share count roll-forward (closing = opening + ESOP + new issue)</t>
  </si>
  <si>
    <t>Model: capital ratio consistency - CET1 &lt;= CRAR and Tier 2 &lt;= Tier 1 every year</t>
  </si>
  <si>
    <t>Model: CRAR &gt;= regulatory minimum every forecast year (count of breaches)</t>
  </si>
  <si>
    <t>Model: CET1 &gt;= internal floor every forecast year (count of breaches)</t>
  </si>
  <si>
    <t>Model: cash &amp; bank &gt;= minimum liquidity every forecast year (count of breaches)</t>
  </si>
  <si>
    <t>Model: CD ratio &lt;= funding cap every forecast year (count of breaches)</t>
  </si>
  <si>
    <t>Valuation: CoE &gt; terminal growth</t>
  </si>
  <si>
    <t>Valuation: implied fade payout between 0% and 100%</t>
  </si>
  <si>
    <t>Model definition (used consistently for history, forecast and peers where stated)</t>
  </si>
  <si>
    <t>Company-reported gross advances including off-book (securitised/IBPC) and before provisions; segment split per loan-mix slide</t>
  </si>
  <si>
    <t>Net advances</t>
  </si>
  <si>
    <t>Balance-sheet advances (net of provisions)</t>
  </si>
  <si>
    <t>Yield on advances</t>
  </si>
  <si>
    <t>Interest/discount on advances / simple average of opening and closing net advances</t>
  </si>
  <si>
    <t>Cost of funds (CoF)</t>
  </si>
  <si>
    <t>Interest expended / simple average of (deposits + borrowings)</t>
  </si>
  <si>
    <t>NIM</t>
  </si>
  <si>
    <t>NII / simple average interest-earning assets (net advances + investments + cash &amp; bank balances)</t>
  </si>
  <si>
    <t>Other income ratio</t>
  </si>
  <si>
    <t>Other income / average non-cash assets (net adv + investments + fixed + other assets)</t>
  </si>
  <si>
    <t>Opex ratio</t>
  </si>
  <si>
    <t>Operating expenses / average non-cash assets; also shown / avg total assets (company style)</t>
  </si>
  <si>
    <t>Operating expenses / (NII + other income)</t>
  </si>
  <si>
    <t>Credit cost</t>
  </si>
  <si>
    <t>Provisions &amp; contingencies (ex tax) / average GLP</t>
  </si>
  <si>
    <t>GNPA / NNPA ratio</t>
  </si>
  <si>
    <t>As reported: gross NPA / gross advances; net NPA / net advances</t>
  </si>
  <si>
    <t>Specific PCR</t>
  </si>
  <si>
    <t>1 - NNPA / GNPA (excludes technical write-offs)</t>
  </si>
  <si>
    <t>PAT / simple average total assets</t>
  </si>
  <si>
    <t>PAT / simple average shareholders funds (capital + reserves incl. ESOP outstanding)</t>
  </si>
  <si>
    <t>Book value / BVPS</t>
  </si>
  <si>
    <t>Shareholders' funds (capital + ESOP o/s + reserves) / period-end shares. Not tangible BV; intangibles are small (regulatory deductions 1.9% of equity FY26)</t>
  </si>
  <si>
    <t>CET1 / Tier 1 / CRAR</t>
  </si>
  <si>
    <t>Capital funds / RWA per Basel II Pillar 3 (SFB framework: credit RWA only; no AT1 so CET1 = Tier 1)</t>
  </si>
  <si>
    <t>RWA density</t>
  </si>
  <si>
    <t>CD ratio</t>
  </si>
  <si>
    <t>Net advances / deposits (balance sheet)</t>
  </si>
  <si>
    <t>(Current + savings deposits) / total deposits, period end</t>
  </si>
  <si>
    <t>Residual income</t>
  </si>
  <si>
    <t>NI_t - k x BV_(t-1); value = BV_0 + sum PV(RI) + PV(continuing value)</t>
  </si>
  <si>
    <t>Justified P/B</t>
  </si>
  <si>
    <t>(ROE - g) / (k - g) applied to current book value</t>
  </si>
  <si>
    <t>Peer ROE</t>
  </si>
  <si>
    <t>FY26 PAT / avg(Mar-25, Mar-26) capital + reserves from XBRL</t>
  </si>
  <si>
    <t>Peer NII / assets</t>
  </si>
  <si>
    <t>(Interest earned - interest expended) / avg total assets</t>
  </si>
  <si>
    <t>Residual-income value per share (INR): cost of equity (rows) x terminal ROE (columns); terminal g as Inputs</t>
  </si>
  <si>
    <t>Residual-income value per share (INR): cost of equity (rows) x terminal growth (columns); terminal ROE as Inputs</t>
  </si>
  <si>
    <t>Sources - Source log with document, period, publication date, page/table, URL, units.</t>
  </si>
  <si>
    <t>Data Dictionary and Definitions</t>
  </si>
  <si>
    <t>Sensitivity grid reproduces value/share</t>
  </si>
  <si>
    <t>Inputs - Market/valuation inputs, scenario selector, regulatory minima, driver tables (Base / Upside / Downside / Active).</t>
  </si>
  <si>
    <t>[S11] FY23; [S8] FY25-26</t>
  </si>
  <si>
    <t>- Interest expense is not split between deposits and borrowings in quarterly results.</t>
  </si>
  <si>
    <t>- Model ratios use simple averages of period-end balances.</t>
  </si>
  <si>
    <t>FY26 +3.1%; growth build-up after continued stress [S10]</t>
  </si>
  <si>
    <t>FY26 +29.3% [S8]; base fade towards 15-16%</t>
  </si>
  <si>
    <t>B. Scenario selector</t>
  </si>
  <si>
    <t>Analyst assumption (judgement; common practitioner range 5-7%). Sensitised in Valuation tables.</t>
  </si>
  <si>
    <t>Number of fade columns on Valuation sheet.</t>
  </si>
  <si>
    <t>Valuation - residual income (3-stage), justified P/B-ROE, market-implied expectations, peer cross-check, formula-driven grids (CoE x terminal ROE, CoE x terminal g).</t>
  </si>
  <si>
    <t>Source log (primary sources only; all published on or before the 29-May-2026 cut-off)</t>
  </si>
  <si>
    <t>Call Date 27-Apr-2026</t>
  </si>
  <si>
    <t>https://www.nseindia.com/get-quote/equity/AUBANK/AU-Small-Finance-Bank-Limited?series=EQ</t>
  </si>
  <si>
    <t>https://www.niftyindices.com/reports/historical-data</t>
  </si>
  <si>
    <t>https://www.nseindia.com/get-quote/equity/AUBANK/AU-Small-Finance-Bank-Limited</t>
  </si>
  <si>
    <t>https://www.rbi.org.in/Scripts/BS_PressReleaseDisplay.aspx?prid=62823; https://www.rbi.org.in/Scripts/BS_PressReleaseDisplay.aspx?prid=62787</t>
  </si>
  <si>
    <t>https://www.rbi.org.in/Scripts/NotificationUser.aspx?Id=12676&amp;Mode=0; https://www.rbi.org.in/Scripts/BS_PressReleaseDisplay.aspx?prid=60977; https://www.rbi.org.in/scripts/BS_ViewMasCirculardetails.aspx?id=12815</t>
  </si>
  <si>
    <t>NSE Integrated Filing - Financials (standalone, FY26 audited) for 12 peers</t>
  </si>
  <si>
    <t>NSE Filings</t>
  </si>
  <si>
    <t>26-Apr-2024 / current Master Circular</t>
  </si>
  <si>
    <t>DataDict - definitions of every ratio used (company vs model definitions).</t>
  </si>
  <si>
    <t>Checks - All integrity checks in one place.</t>
  </si>
  <si>
    <t>FY26 +21.0% [S8]. Base fades toward ~15%; growth rate = lower end of management "2-2.5x nominal GDP" [S10]</t>
  </si>
  <si>
    <t>S20</t>
  </si>
  <si>
    <t>RBI Weekly Statistical Supplement extract (press release, 29-May-2026), Table 4: Scheduled Commercial Banks - Business in India</t>
  </si>
  <si>
    <t>as on 15-May-2026</t>
  </si>
  <si>
    <t>29-May-2026</t>
  </si>
  <si>
    <t>Aggregate deposits YoY +12.2%; bank credit YoY +16.2%</t>
  </si>
  <si>
    <t>https://www.rbi.org.in/Scripts/BS_PressReleaseDisplay.aspx?prid=62826</t>
  </si>
  <si>
    <t>INR crore / %</t>
  </si>
  <si>
    <t>System growth context for funding-supportability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</si>
</sst>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dd\-mmm\-yyyy"/>
    <numFmt numFmtId="165" formatCode="#,##0.00;\(#,##0.00\);\-"/>
    <numFmt numFmtId="166" formatCode="#,##0.000"/>
    <numFmt numFmtId="167" formatCode="0.00%;\(0.00%\);\-"/>
    <numFmt numFmtId="168" formatCode="0.0%;\(0.0%\);\-"/>
    <numFmt numFmtId="169" formatCode="0.000"/>
    <numFmt numFmtId="170" formatCode="#,##0;\(#,##0\);\-"/>
    <numFmt numFmtId="171" formatCode="0.00\x"/>
    <numFmt numFmtId="172" formatCode="0.0000"/>
    <numFmt numFmtId="173" formatCode="0.0\x"/>
    <numFmt numFmtId="17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6"/>
      <color rgb="FF1F386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10"/>
      <color theme="1"/>
      <name val="Calibri"/>
      <family val="2"/>
      <charset val="1"/>
    </font>
    <font>
      <sz val="8"/>
      <color theme="1"/>
      <name val="Calibri"/>
      <family val="2"/>
      <scheme val="minor"/>
    </font>
    <font>
      <i/>
      <sz val="8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i/>
      <sz val="8"/>
      <color rgb="FF595959"/>
      <name val="Calibri"/>
      <family val="2"/>
      <scheme val="minor"/>
    </font>
    <font>
      <b/>
      <sz val="8"/>
      <color rgb="FF1F386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2" applyFont="1" applyAlignment="1">
      <alignment horizontal="center" vertical="top" wrapText="1"/>
    </xf>
    <xf numFmtId="0" fontId="1" fillId="0" borderId="0" xfId="2" applyFont="1"/>
    <xf numFmtId="0" fontId="4" fillId="0" borderId="0" xfId="2" applyFont="1" applyAlignment="1">
      <alignment horizontal="center" vertical="top" wrapText="1"/>
    </xf>
    <xf numFmtId="0" fontId="5" fillId="0" borderId="0" xfId="2" applyFont="1" applyAlignment="1">
      <alignment vertical="top" wrapText="1"/>
    </xf>
    <xf numFmtId="0" fontId="6" fillId="0" borderId="0" xfId="2" applyFont="1" applyAlignment="1">
      <alignment vertical="top" wrapText="1"/>
    </xf>
    <xf numFmtId="0" fontId="7" fillId="0" borderId="0" xfId="2" applyFont="1" applyAlignment="1">
      <alignment vertical="top" wrapText="1"/>
    </xf>
    <xf numFmtId="0" fontId="4" fillId="0" borderId="0" xfId="2" applyFont="1" applyAlignment="1">
      <alignment vertical="top" wrapText="1"/>
    </xf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2" fillId="0" borderId="0" xfId="2" applyAlignment="1">
      <alignment vertical="center"/>
    </xf>
    <xf numFmtId="0" fontId="11" fillId="0" borderId="0" xfId="2" applyFont="1" applyAlignment="1">
      <alignment vertical="center"/>
    </xf>
    <xf numFmtId="0" fontId="6" fillId="2" borderId="0" xfId="2" applyFont="1" applyFill="1" applyAlignment="1">
      <alignment vertical="center"/>
    </xf>
    <xf numFmtId="0" fontId="12" fillId="2" borderId="0" xfId="2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0" fontId="11" fillId="0" borderId="0" xfId="2" applyFont="1" applyAlignment="1">
      <alignment vertical="center" wrapText="1"/>
    </xf>
    <xf numFmtId="1" fontId="5" fillId="0" borderId="0" xfId="2" applyNumberFormat="1" applyFont="1" applyAlignment="1">
      <alignment vertical="center"/>
    </xf>
    <xf numFmtId="165" fontId="7" fillId="3" borderId="0" xfId="2" applyNumberFormat="1" applyFont="1" applyFill="1" applyAlignment="1">
      <alignment vertical="center"/>
    </xf>
    <xf numFmtId="166" fontId="13" fillId="0" borderId="0" xfId="2" applyNumberFormat="1" applyFont="1" applyAlignment="1">
      <alignment vertical="center"/>
    </xf>
    <xf numFmtId="167" fontId="13" fillId="0" borderId="0" xfId="2" applyNumberFormat="1" applyFont="1" applyAlignment="1">
      <alignment vertical="center"/>
    </xf>
    <xf numFmtId="166" fontId="5" fillId="0" borderId="0" xfId="2" applyNumberFormat="1" applyFont="1" applyAlignment="1">
      <alignment vertical="center"/>
    </xf>
    <xf numFmtId="167" fontId="7" fillId="3" borderId="0" xfId="2" applyNumberFormat="1" applyFont="1" applyFill="1" applyAlignment="1">
      <alignment vertical="center"/>
    </xf>
    <xf numFmtId="2" fontId="13" fillId="0" borderId="0" xfId="2" applyNumberFormat="1" applyFont="1" applyAlignment="1">
      <alignment vertical="center"/>
    </xf>
    <xf numFmtId="167" fontId="5" fillId="0" borderId="0" xfId="2" applyNumberFormat="1" applyFont="1" applyAlignment="1">
      <alignment vertical="center"/>
    </xf>
    <xf numFmtId="1" fontId="7" fillId="3" borderId="0" xfId="2" applyNumberFormat="1" applyFont="1" applyFill="1" applyAlignment="1">
      <alignment vertical="center"/>
    </xf>
    <xf numFmtId="0" fontId="6" fillId="0" borderId="0" xfId="2" applyFont="1" applyAlignment="1">
      <alignment vertical="center"/>
    </xf>
    <xf numFmtId="168" fontId="7" fillId="3" borderId="0" xfId="2" applyNumberFormat="1" applyFont="1" applyFill="1" applyAlignment="1">
      <alignment vertical="center"/>
    </xf>
    <xf numFmtId="168" fontId="5" fillId="4" borderId="0" xfId="2" applyNumberFormat="1" applyFont="1" applyFill="1" applyAlignment="1">
      <alignment vertical="center"/>
    </xf>
    <xf numFmtId="168" fontId="7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0" fontId="14" fillId="0" borderId="0" xfId="2" applyFont="1" applyAlignment="1">
      <alignment vertical="center"/>
    </xf>
    <xf numFmtId="168" fontId="13" fillId="0" borderId="0" xfId="2" applyNumberFormat="1" applyFont="1" applyAlignment="1">
      <alignment vertical="center"/>
    </xf>
    <xf numFmtId="169" fontId="7" fillId="3" borderId="0" xfId="2" applyNumberFormat="1" applyFont="1" applyFill="1" applyAlignment="1">
      <alignment vertical="center"/>
    </xf>
    <xf numFmtId="169" fontId="5" fillId="4" borderId="0" xfId="2" applyNumberFormat="1" applyFont="1" applyFill="1" applyAlignment="1">
      <alignment vertical="center"/>
    </xf>
    <xf numFmtId="169" fontId="13" fillId="0" borderId="0" xfId="2" applyNumberFormat="1" applyFont="1" applyAlignment="1">
      <alignment vertical="center"/>
    </xf>
    <xf numFmtId="167" fontId="5" fillId="4" borderId="0" xfId="2" applyNumberFormat="1" applyFont="1" applyFill="1" applyAlignment="1">
      <alignment vertical="center"/>
    </xf>
    <xf numFmtId="165" fontId="5" fillId="4" borderId="0" xfId="2" applyNumberFormat="1" applyFont="1" applyFill="1" applyAlignment="1">
      <alignment vertical="center"/>
    </xf>
    <xf numFmtId="165" fontId="13" fillId="0" borderId="0" xfId="2" applyNumberFormat="1" applyFont="1" applyAlignment="1">
      <alignment vertical="center"/>
    </xf>
    <xf numFmtId="170" fontId="7" fillId="3" borderId="0" xfId="2" applyNumberFormat="1" applyFont="1" applyFill="1" applyAlignment="1">
      <alignment vertical="center"/>
    </xf>
    <xf numFmtId="170" fontId="5" fillId="4" borderId="0" xfId="2" applyNumberFormat="1" applyFont="1" applyFill="1" applyAlignment="1">
      <alignment vertical="center"/>
    </xf>
    <xf numFmtId="2" fontId="7" fillId="3" borderId="0" xfId="2" applyNumberFormat="1" applyFont="1" applyFill="1" applyAlignment="1">
      <alignment vertical="center"/>
    </xf>
    <xf numFmtId="2" fontId="5" fillId="4" borderId="0" xfId="2" applyNumberFormat="1" applyFont="1" applyFill="1" applyAlignment="1">
      <alignment vertical="center"/>
    </xf>
    <xf numFmtId="171" fontId="7" fillId="3" borderId="0" xfId="2" applyNumberFormat="1" applyFont="1" applyFill="1" applyAlignment="1">
      <alignment vertical="center"/>
    </xf>
    <xf numFmtId="171" fontId="5" fillId="4" borderId="0" xfId="2" applyNumberFormat="1" applyFont="1" applyFill="1" applyAlignment="1">
      <alignment vertical="center"/>
    </xf>
    <xf numFmtId="0" fontId="1" fillId="0" borderId="0" xfId="2" applyFont="1" applyAlignment="1">
      <alignment vertical="center"/>
    </xf>
    <xf numFmtId="0" fontId="8" fillId="0" borderId="0" xfId="2" applyFont="1"/>
    <xf numFmtId="0" fontId="12" fillId="0" borderId="0" xfId="2" applyFont="1"/>
    <xf numFmtId="0" fontId="11" fillId="0" borderId="0" xfId="2" applyFont="1"/>
    <xf numFmtId="0" fontId="15" fillId="5" borderId="0" xfId="2" applyFont="1" applyFill="1"/>
    <xf numFmtId="0" fontId="15" fillId="5" borderId="0" xfId="2" applyFont="1" applyFill="1" applyAlignment="1">
      <alignment horizontal="center" vertical="top"/>
    </xf>
    <xf numFmtId="0" fontId="16" fillId="0" borderId="0" xfId="2" applyFont="1"/>
    <xf numFmtId="1" fontId="16" fillId="0" borderId="0" xfId="2" applyNumberFormat="1" applyFont="1"/>
    <xf numFmtId="0" fontId="10" fillId="0" borderId="0" xfId="2" applyFont="1"/>
    <xf numFmtId="0" fontId="6" fillId="2" borderId="0" xfId="2" applyFont="1" applyFill="1"/>
    <xf numFmtId="0" fontId="12" fillId="2" borderId="0" xfId="2" applyFont="1" applyFill="1"/>
    <xf numFmtId="0" fontId="10" fillId="2" borderId="0" xfId="2" applyFont="1" applyFill="1"/>
    <xf numFmtId="0" fontId="5" fillId="0" borderId="0" xfId="2" applyFont="1"/>
    <xf numFmtId="170" fontId="7" fillId="0" borderId="0" xfId="2" applyNumberFormat="1" applyFont="1"/>
    <xf numFmtId="170" fontId="5" fillId="0" borderId="0" xfId="2" applyNumberFormat="1" applyFont="1"/>
    <xf numFmtId="0" fontId="6" fillId="0" borderId="0" xfId="2" applyFont="1"/>
    <xf numFmtId="170" fontId="13" fillId="0" borderId="0" xfId="2" applyNumberFormat="1" applyFont="1"/>
    <xf numFmtId="170" fontId="6" fillId="0" borderId="0" xfId="2" applyNumberFormat="1" applyFont="1"/>
    <xf numFmtId="168" fontId="5" fillId="0" borderId="0" xfId="2" applyNumberFormat="1" applyFont="1"/>
    <xf numFmtId="0" fontId="17" fillId="0" borderId="0" xfId="2" applyFont="1"/>
    <xf numFmtId="169" fontId="5" fillId="0" borderId="0" xfId="2" applyNumberFormat="1" applyFont="1"/>
    <xf numFmtId="167" fontId="5" fillId="0" borderId="0" xfId="2" applyNumberFormat="1" applyFont="1"/>
    <xf numFmtId="165" fontId="7" fillId="0" borderId="0" xfId="2" applyNumberFormat="1" applyFont="1"/>
    <xf numFmtId="165" fontId="5" fillId="0" borderId="0" xfId="2" applyNumberFormat="1" applyFont="1"/>
    <xf numFmtId="166" fontId="13" fillId="0" borderId="0" xfId="2" applyNumberFormat="1" applyFont="1"/>
    <xf numFmtId="166" fontId="5" fillId="0" borderId="0" xfId="2" applyNumberFormat="1" applyFont="1"/>
    <xf numFmtId="165" fontId="13" fillId="0" borderId="0" xfId="2" applyNumberFormat="1" applyFont="1"/>
    <xf numFmtId="168" fontId="13" fillId="0" borderId="0" xfId="2" applyNumberFormat="1" applyFont="1"/>
    <xf numFmtId="1" fontId="7" fillId="0" borderId="0" xfId="2" applyNumberFormat="1" applyFont="1"/>
    <xf numFmtId="1" fontId="5" fillId="0" borderId="0" xfId="2" applyNumberFormat="1" applyFont="1"/>
    <xf numFmtId="167" fontId="6" fillId="0" borderId="0" xfId="2" applyNumberFormat="1" applyFont="1"/>
    <xf numFmtId="167" fontId="13" fillId="0" borderId="0" xfId="2" applyNumberFormat="1" applyFont="1"/>
    <xf numFmtId="1" fontId="13" fillId="0" borderId="0" xfId="2" applyNumberFormat="1" applyFont="1"/>
    <xf numFmtId="172" fontId="5" fillId="0" borderId="0" xfId="2" applyNumberFormat="1" applyFont="1"/>
    <xf numFmtId="165" fontId="6" fillId="3" borderId="0" xfId="2" applyNumberFormat="1" applyFont="1" applyFill="1"/>
    <xf numFmtId="171" fontId="5" fillId="0" borderId="0" xfId="2" applyNumberFormat="1" applyFont="1"/>
    <xf numFmtId="173" fontId="5" fillId="0" borderId="0" xfId="2" applyNumberFormat="1" applyFont="1"/>
    <xf numFmtId="171" fontId="13" fillId="0" borderId="0" xfId="2" applyNumberFormat="1" applyFont="1"/>
    <xf numFmtId="168" fontId="7" fillId="2" borderId="0" xfId="2" applyNumberFormat="1" applyFont="1" applyFill="1"/>
    <xf numFmtId="167" fontId="7" fillId="0" borderId="0" xfId="2" applyNumberFormat="1" applyFont="1"/>
    <xf numFmtId="168" fontId="7" fillId="0" borderId="0" xfId="2" applyNumberFormat="1" applyFont="1"/>
    <xf numFmtId="0" fontId="16" fillId="0" borderId="0" xfId="2" applyFont="1" applyAlignment="1">
      <alignment horizontal="right" vertical="top"/>
    </xf>
    <xf numFmtId="174" fontId="7" fillId="0" borderId="0" xfId="2" applyNumberFormat="1" applyFont="1"/>
    <xf numFmtId="174" fontId="5" fillId="0" borderId="0" xfId="2" applyNumberFormat="1" applyFont="1"/>
    <xf numFmtId="2" fontId="5" fillId="0" borderId="0" xfId="2" applyNumberFormat="1" applyFont="1"/>
    <xf numFmtId="0" fontId="7" fillId="0" borderId="0" xfId="2" applyFont="1"/>
    <xf numFmtId="169" fontId="6" fillId="0" borderId="0" xfId="2" applyNumberFormat="1" applyFont="1"/>
    <xf numFmtId="0" fontId="11" fillId="0" borderId="0" xfId="2" applyFont="1" applyAlignment="1">
      <alignment horizontal="left" vertical="top"/>
    </xf>
    <xf numFmtId="0" fontId="6" fillId="3" borderId="0" xfId="2" applyFont="1" applyFill="1"/>
    <xf numFmtId="0" fontId="6" fillId="6" borderId="0" xfId="2" applyFont="1" applyFill="1"/>
    <xf numFmtId="43" fontId="12" fillId="0" borderId="0" xfId="1" applyFont="1"/>
    <xf numFmtId="0" fontId="5" fillId="0" borderId="0" xfId="2" quotePrefix="1" applyFont="1" applyAlignment="1">
      <alignment vertical="top" wrapText="1"/>
    </xf>
    <xf numFmtId="0" fontId="15" fillId="5" borderId="1" xfId="2" applyFont="1" applyFill="1" applyBorder="1" applyAlignment="1">
      <alignment vertical="center"/>
    </xf>
    <xf numFmtId="0" fontId="1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 wrapText="1"/>
    </xf>
    <xf numFmtId="0" fontId="5" fillId="0" borderId="1" xfId="2" quotePrefix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vertical="top" wrapText="1"/>
    </xf>
    <xf numFmtId="10" fontId="12" fillId="0" borderId="0" xfId="3" applyNumberFormat="1" applyFont="1"/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</cellXfs>
  <cellStyles count="4">
    <cellStyle name="Comma" xfId="1" builtinId="3"/>
    <cellStyle name="Normal" xfId="0" builtinId="0"/>
    <cellStyle name="Normal 2" xfId="2" xr:uid="{600DC86B-2E05-4638-9A20-4EFE59350169}"/>
    <cellStyle name="Percent" xfId="3" builtinId="5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F2D5D-5F22-4002-A78F-8EE35A96E1A9}">
  <sheetPr>
    <tabColor rgb="FF1F3864"/>
  </sheetPr>
  <dimension ref="A1:A30"/>
  <sheetViews>
    <sheetView showGridLines="0" tabSelected="1" zoomScaleNormal="100" workbookViewId="0"/>
  </sheetViews>
  <sheetFormatPr defaultColWidth="8.6640625" defaultRowHeight="14.4" x14ac:dyDescent="0.3"/>
  <cols>
    <col min="1" max="1" width="131.21875" style="2" customWidth="1"/>
    <col min="2" max="16384" width="8.6640625" style="2"/>
  </cols>
  <sheetData>
    <row r="1" spans="1:1" ht="21" x14ac:dyDescent="0.3">
      <c r="A1" s="1" t="s">
        <v>0</v>
      </c>
    </row>
    <row r="2" spans="1:1" x14ac:dyDescent="0.3">
      <c r="A2" s="3" t="s">
        <v>1</v>
      </c>
    </row>
    <row r="3" spans="1:1" x14ac:dyDescent="0.3">
      <c r="A3" s="4"/>
    </row>
    <row r="4" spans="1:1" x14ac:dyDescent="0.3">
      <c r="A4" s="4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ht="27.6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/>
    </row>
    <row r="10" spans="1:1" x14ac:dyDescent="0.3">
      <c r="A10" s="5" t="s">
        <v>7</v>
      </c>
    </row>
    <row r="11" spans="1:1" x14ac:dyDescent="0.3">
      <c r="A11" s="6" t="s">
        <v>8</v>
      </c>
    </row>
    <row r="12" spans="1:1" ht="41.4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/>
    </row>
    <row r="15" spans="1:1" x14ac:dyDescent="0.3">
      <c r="A15" s="5" t="s">
        <v>11</v>
      </c>
    </row>
    <row r="16" spans="1:1" x14ac:dyDescent="0.3">
      <c r="A16" s="4" t="s">
        <v>835</v>
      </c>
    </row>
    <row r="17" spans="1:1" x14ac:dyDescent="0.3">
      <c r="A17" s="4" t="s">
        <v>12</v>
      </c>
    </row>
    <row r="18" spans="1:1" x14ac:dyDescent="0.3">
      <c r="A18" s="4" t="s">
        <v>13</v>
      </c>
    </row>
    <row r="19" spans="1:1" x14ac:dyDescent="0.3">
      <c r="A19" s="4" t="s">
        <v>844</v>
      </c>
    </row>
    <row r="20" spans="1:1" x14ac:dyDescent="0.3">
      <c r="A20" s="4" t="s">
        <v>14</v>
      </c>
    </row>
    <row r="21" spans="1:1" x14ac:dyDescent="0.3">
      <c r="A21" s="4" t="s">
        <v>15</v>
      </c>
    </row>
    <row r="22" spans="1:1" x14ac:dyDescent="0.3">
      <c r="A22" s="106" t="s">
        <v>856</v>
      </c>
    </row>
    <row r="23" spans="1:1" x14ac:dyDescent="0.3">
      <c r="A23" s="106" t="s">
        <v>855</v>
      </c>
    </row>
    <row r="24" spans="1:1" x14ac:dyDescent="0.3">
      <c r="A24" s="4" t="s">
        <v>832</v>
      </c>
    </row>
    <row r="25" spans="1:1" x14ac:dyDescent="0.3">
      <c r="A25" s="4"/>
    </row>
    <row r="26" spans="1:1" x14ac:dyDescent="0.3">
      <c r="A26" s="7" t="s">
        <v>16</v>
      </c>
    </row>
    <row r="27" spans="1:1" x14ac:dyDescent="0.3">
      <c r="A27" s="99" t="s">
        <v>837</v>
      </c>
    </row>
    <row r="28" spans="1:1" x14ac:dyDescent="0.3">
      <c r="A28" s="99" t="s">
        <v>838</v>
      </c>
    </row>
    <row r="29" spans="1:1" ht="27.6" x14ac:dyDescent="0.3">
      <c r="A29" s="4" t="s">
        <v>17</v>
      </c>
    </row>
    <row r="30" spans="1:1" x14ac:dyDescent="0.3">
      <c r="A30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9165-7784-4D83-AFC8-F78B9D2DB0E2}">
  <sheetPr>
    <tabColor rgb="FFFFC000"/>
  </sheetPr>
  <dimension ref="A1:I199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8.6640625" defaultRowHeight="14.4" x14ac:dyDescent="0.3"/>
  <cols>
    <col min="1" max="1" width="44" style="11" customWidth="1"/>
    <col min="2" max="2" width="23.5546875" style="11" customWidth="1"/>
    <col min="3" max="8" width="12" style="11" customWidth="1"/>
    <col min="9" max="9" width="90.21875" style="10" customWidth="1"/>
    <col min="10" max="16384" width="8.6640625" style="11"/>
  </cols>
  <sheetData>
    <row r="1" spans="1:9" ht="18" x14ac:dyDescent="0.3">
      <c r="A1" s="8" t="s">
        <v>18</v>
      </c>
      <c r="B1" s="9"/>
      <c r="C1" s="9"/>
      <c r="D1" s="9"/>
      <c r="E1" s="9"/>
      <c r="F1" s="9"/>
      <c r="G1" s="9"/>
      <c r="H1" s="9"/>
    </row>
    <row r="2" spans="1:9" x14ac:dyDescent="0.3">
      <c r="A2" s="12" t="s">
        <v>19</v>
      </c>
      <c r="B2" s="9"/>
      <c r="C2" s="9"/>
      <c r="D2" s="9"/>
      <c r="E2" s="9"/>
      <c r="F2" s="9"/>
      <c r="G2" s="9"/>
      <c r="H2" s="9"/>
    </row>
    <row r="3" spans="1:9" x14ac:dyDescent="0.3">
      <c r="A3" s="9"/>
      <c r="B3" s="9"/>
      <c r="C3" s="9"/>
      <c r="D3" s="9"/>
      <c r="E3" s="9"/>
      <c r="F3" s="9"/>
      <c r="G3" s="9"/>
      <c r="H3" s="9"/>
    </row>
    <row r="4" spans="1:9" x14ac:dyDescent="0.3">
      <c r="A4" s="13" t="s">
        <v>20</v>
      </c>
      <c r="B4" s="14"/>
      <c r="C4" s="14"/>
      <c r="D4" s="14"/>
      <c r="E4" s="14"/>
      <c r="F4" s="14"/>
      <c r="G4" s="14"/>
      <c r="H4" s="14"/>
      <c r="I4" s="15"/>
    </row>
    <row r="5" spans="1:9" x14ac:dyDescent="0.3">
      <c r="A5" s="16" t="s">
        <v>21</v>
      </c>
      <c r="B5" s="17"/>
      <c r="C5" s="18">
        <v>46171</v>
      </c>
      <c r="D5" s="17"/>
      <c r="E5" s="17"/>
      <c r="F5" s="17"/>
      <c r="G5" s="17"/>
      <c r="H5" s="17"/>
      <c r="I5" s="19" t="s">
        <v>22</v>
      </c>
    </row>
    <row r="6" spans="1:9" x14ac:dyDescent="0.3">
      <c r="A6" s="16" t="s">
        <v>23</v>
      </c>
      <c r="B6" s="17"/>
      <c r="C6" s="18">
        <v>46112</v>
      </c>
      <c r="D6" s="17"/>
      <c r="E6" s="17"/>
      <c r="F6" s="17"/>
      <c r="G6" s="17"/>
      <c r="H6" s="17"/>
      <c r="I6" s="19" t="s">
        <v>24</v>
      </c>
    </row>
    <row r="7" spans="1:9" x14ac:dyDescent="0.3">
      <c r="A7" s="16" t="s">
        <v>25</v>
      </c>
      <c r="B7" s="17"/>
      <c r="C7" s="20">
        <f>C5-C6</f>
        <v>59</v>
      </c>
      <c r="D7" s="17"/>
      <c r="E7" s="17"/>
      <c r="F7" s="17"/>
      <c r="G7" s="17"/>
      <c r="H7" s="17"/>
      <c r="I7" s="19" t="s">
        <v>26</v>
      </c>
    </row>
    <row r="8" spans="1:9" x14ac:dyDescent="0.3">
      <c r="A8" s="16" t="s">
        <v>27</v>
      </c>
      <c r="B8" s="17"/>
      <c r="C8" s="21">
        <v>984.7</v>
      </c>
      <c r="D8" s="17"/>
      <c r="E8" s="17"/>
      <c r="F8" s="17"/>
      <c r="G8" s="17"/>
      <c r="H8" s="17"/>
      <c r="I8" s="19" t="s">
        <v>28</v>
      </c>
    </row>
    <row r="9" spans="1:9" x14ac:dyDescent="0.3">
      <c r="A9" s="16" t="s">
        <v>29</v>
      </c>
      <c r="B9" s="17"/>
      <c r="C9" s="22">
        <f>Hist!H36/10</f>
        <v>74.826710000000006</v>
      </c>
      <c r="D9" s="17"/>
      <c r="E9" s="17"/>
      <c r="F9" s="17"/>
      <c r="G9" s="17"/>
      <c r="H9" s="17"/>
      <c r="I9" s="19" t="s">
        <v>30</v>
      </c>
    </row>
    <row r="10" spans="1:9" x14ac:dyDescent="0.3">
      <c r="A10" s="16" t="s">
        <v>31</v>
      </c>
      <c r="B10" s="17"/>
      <c r="C10" s="23">
        <f>Hist!H72/Hist!H73-1</f>
        <v>1.1139674378748854E-2</v>
      </c>
      <c r="D10" s="17"/>
      <c r="E10" s="17"/>
      <c r="F10" s="17"/>
      <c r="G10" s="17"/>
      <c r="H10" s="17"/>
      <c r="I10" s="19" t="s">
        <v>32</v>
      </c>
    </row>
    <row r="11" spans="1:9" x14ac:dyDescent="0.3">
      <c r="A11" s="16" t="s">
        <v>33</v>
      </c>
      <c r="B11" s="17"/>
      <c r="C11" s="24">
        <f>C9*(1+C10)</f>
        <v>75.66025518423308</v>
      </c>
      <c r="D11" s="17"/>
      <c r="E11" s="17"/>
      <c r="F11" s="17"/>
      <c r="G11" s="17"/>
      <c r="H11" s="17"/>
      <c r="I11" s="19" t="s">
        <v>34</v>
      </c>
    </row>
    <row r="12" spans="1:9" x14ac:dyDescent="0.3">
      <c r="A12" s="16" t="s">
        <v>35</v>
      </c>
      <c r="B12" s="17"/>
      <c r="C12" s="25">
        <v>7.1999999999999995E-2</v>
      </c>
      <c r="D12" s="17"/>
      <c r="E12" s="17"/>
      <c r="F12" s="17"/>
      <c r="G12" s="17"/>
      <c r="H12" s="17"/>
      <c r="I12" s="19" t="s">
        <v>36</v>
      </c>
    </row>
    <row r="13" spans="1:9" x14ac:dyDescent="0.3">
      <c r="A13" s="16" t="s">
        <v>37</v>
      </c>
      <c r="B13" s="17"/>
      <c r="C13" s="26">
        <f>Beta!F4</f>
        <v>1.0232624225880611</v>
      </c>
      <c r="D13" s="17"/>
      <c r="E13" s="17"/>
      <c r="F13" s="17"/>
      <c r="G13" s="17"/>
      <c r="H13" s="17"/>
      <c r="I13" s="19" t="s">
        <v>38</v>
      </c>
    </row>
    <row r="14" spans="1:9" x14ac:dyDescent="0.3">
      <c r="A14" s="16" t="s">
        <v>39</v>
      </c>
      <c r="B14" s="17"/>
      <c r="C14" s="25">
        <v>0.06</v>
      </c>
      <c r="D14" s="17"/>
      <c r="E14" s="17"/>
      <c r="F14" s="17"/>
      <c r="G14" s="17"/>
      <c r="H14" s="17"/>
      <c r="I14" s="19" t="s">
        <v>842</v>
      </c>
    </row>
    <row r="15" spans="1:9" x14ac:dyDescent="0.3">
      <c r="A15" s="16" t="s">
        <v>40</v>
      </c>
      <c r="B15" s="17"/>
      <c r="C15" s="27">
        <f>C12+C13*C14</f>
        <v>0.13339574535528365</v>
      </c>
      <c r="D15" s="17"/>
      <c r="E15" s="17"/>
      <c r="F15" s="17"/>
      <c r="G15" s="17"/>
      <c r="H15" s="17"/>
      <c r="I15" s="19" t="s">
        <v>41</v>
      </c>
    </row>
    <row r="16" spans="1:9" x14ac:dyDescent="0.3">
      <c r="A16" s="17"/>
      <c r="B16" s="17"/>
      <c r="C16" s="17"/>
      <c r="D16" s="17"/>
      <c r="E16" s="17"/>
      <c r="F16" s="17"/>
      <c r="G16" s="17"/>
      <c r="H16" s="17"/>
    </row>
    <row r="17" spans="1:9" x14ac:dyDescent="0.3">
      <c r="A17" s="13" t="s">
        <v>841</v>
      </c>
      <c r="B17" s="14"/>
      <c r="C17" s="14"/>
      <c r="D17" s="14"/>
      <c r="E17" s="14"/>
      <c r="F17" s="14"/>
      <c r="G17" s="14"/>
      <c r="H17" s="14"/>
      <c r="I17" s="15"/>
    </row>
    <row r="18" spans="1:9" x14ac:dyDescent="0.3">
      <c r="A18" s="16" t="s">
        <v>42</v>
      </c>
      <c r="B18" s="17"/>
      <c r="C18" s="28">
        <v>1</v>
      </c>
      <c r="D18" s="17"/>
      <c r="E18" s="17"/>
      <c r="F18" s="17"/>
      <c r="G18" s="17"/>
      <c r="H18" s="17"/>
      <c r="I18" s="19" t="s">
        <v>43</v>
      </c>
    </row>
    <row r="19" spans="1:9" x14ac:dyDescent="0.3">
      <c r="A19" s="17"/>
      <c r="B19" s="17"/>
      <c r="C19" s="17"/>
      <c r="D19" s="17"/>
      <c r="E19" s="17"/>
      <c r="F19" s="17"/>
      <c r="G19" s="17"/>
      <c r="H19" s="17"/>
    </row>
    <row r="20" spans="1:9" x14ac:dyDescent="0.3">
      <c r="A20" s="13" t="s">
        <v>44</v>
      </c>
      <c r="B20" s="14"/>
      <c r="C20" s="14"/>
      <c r="D20" s="14"/>
      <c r="E20" s="14"/>
      <c r="F20" s="14"/>
      <c r="G20" s="14"/>
      <c r="H20" s="14"/>
      <c r="I20" s="15"/>
    </row>
    <row r="21" spans="1:9" x14ac:dyDescent="0.3">
      <c r="A21" s="29" t="s">
        <v>45</v>
      </c>
      <c r="B21" s="17"/>
      <c r="C21" s="29" t="s">
        <v>46</v>
      </c>
      <c r="D21" s="29" t="s">
        <v>47</v>
      </c>
      <c r="E21" s="29" t="s">
        <v>48</v>
      </c>
      <c r="F21" s="29" t="s">
        <v>49</v>
      </c>
      <c r="G21" s="17"/>
      <c r="H21" s="17"/>
    </row>
    <row r="22" spans="1:9" ht="20.399999999999999" x14ac:dyDescent="0.3">
      <c r="A22" s="16" t="s">
        <v>50</v>
      </c>
      <c r="B22" s="17"/>
      <c r="C22" s="30">
        <v>0.15</v>
      </c>
      <c r="D22" s="30">
        <v>0.16500000000000001</v>
      </c>
      <c r="E22" s="30">
        <v>0.13</v>
      </c>
      <c r="F22" s="31">
        <f>CHOOSE($C$18,C22,D22,E22)</f>
        <v>0.15</v>
      </c>
      <c r="G22" s="17"/>
      <c r="H22" s="17"/>
      <c r="I22" s="19" t="s">
        <v>51</v>
      </c>
    </row>
    <row r="23" spans="1:9" x14ac:dyDescent="0.3">
      <c r="A23" s="16" t="s">
        <v>52</v>
      </c>
      <c r="B23" s="17"/>
      <c r="C23" s="30">
        <v>7.0000000000000007E-2</v>
      </c>
      <c r="D23" s="30">
        <v>7.4999999999999997E-2</v>
      </c>
      <c r="E23" s="30">
        <v>6.5000000000000002E-2</v>
      </c>
      <c r="F23" s="31">
        <f>CHOOSE($C$18,C23,D23,E23)</f>
        <v>7.0000000000000007E-2</v>
      </c>
      <c r="G23" s="17"/>
      <c r="H23" s="17"/>
      <c r="I23" s="19" t="s">
        <v>53</v>
      </c>
    </row>
    <row r="24" spans="1:9" x14ac:dyDescent="0.3">
      <c r="A24" s="16" t="s">
        <v>54</v>
      </c>
      <c r="B24" s="17"/>
      <c r="C24" s="20">
        <f>COUNT(Valuation!H16:Q16)</f>
        <v>10</v>
      </c>
      <c r="D24" s="17"/>
      <c r="E24" s="17"/>
      <c r="F24" s="17"/>
      <c r="G24" s="17"/>
      <c r="H24" s="17"/>
      <c r="I24" s="19" t="s">
        <v>843</v>
      </c>
    </row>
    <row r="25" spans="1:9" x14ac:dyDescent="0.3">
      <c r="A25" s="17"/>
      <c r="B25" s="17"/>
      <c r="C25" s="17"/>
      <c r="D25" s="17"/>
      <c r="E25" s="17"/>
      <c r="F25" s="17"/>
      <c r="G25" s="17"/>
      <c r="H25" s="17"/>
    </row>
    <row r="26" spans="1:9" x14ac:dyDescent="0.3">
      <c r="A26" s="13" t="s">
        <v>55</v>
      </c>
      <c r="B26" s="14"/>
      <c r="C26" s="14"/>
      <c r="D26" s="14"/>
      <c r="E26" s="14"/>
      <c r="F26" s="14"/>
      <c r="G26" s="14"/>
      <c r="H26" s="14"/>
      <c r="I26" s="15"/>
    </row>
    <row r="27" spans="1:9" x14ac:dyDescent="0.3">
      <c r="A27" s="16" t="s">
        <v>56</v>
      </c>
      <c r="B27" s="17"/>
      <c r="C27" s="28">
        <v>2028</v>
      </c>
      <c r="D27" s="17"/>
      <c r="E27" s="17"/>
      <c r="F27" s="17"/>
      <c r="G27" s="17"/>
      <c r="H27" s="17"/>
      <c r="I27" s="19" t="s">
        <v>57</v>
      </c>
    </row>
    <row r="28" spans="1:9" x14ac:dyDescent="0.3">
      <c r="A28" s="16" t="s">
        <v>58</v>
      </c>
      <c r="B28" s="17"/>
      <c r="C28" s="32">
        <v>0.15</v>
      </c>
      <c r="D28" s="17"/>
      <c r="E28" s="17"/>
      <c r="F28" s="17"/>
      <c r="G28" s="17"/>
      <c r="H28" s="17"/>
      <c r="I28" s="19" t="s">
        <v>59</v>
      </c>
    </row>
    <row r="29" spans="1:9" x14ac:dyDescent="0.3">
      <c r="A29" s="16" t="s">
        <v>60</v>
      </c>
      <c r="B29" s="17"/>
      <c r="C29" s="32">
        <v>0.06</v>
      </c>
      <c r="D29" s="17"/>
      <c r="E29" s="17"/>
      <c r="F29" s="17"/>
      <c r="G29" s="17"/>
      <c r="H29" s="17"/>
      <c r="I29" s="19" t="s">
        <v>61</v>
      </c>
    </row>
    <row r="30" spans="1:9" x14ac:dyDescent="0.3">
      <c r="A30" s="16" t="s">
        <v>62</v>
      </c>
      <c r="B30" s="17"/>
      <c r="C30" s="32">
        <v>7.4999999999999997E-2</v>
      </c>
      <c r="D30" s="17"/>
      <c r="E30" s="17"/>
      <c r="F30" s="17"/>
      <c r="G30" s="17"/>
      <c r="H30" s="17"/>
      <c r="I30" s="19" t="s">
        <v>61</v>
      </c>
    </row>
    <row r="31" spans="1:9" x14ac:dyDescent="0.3">
      <c r="A31" s="16" t="s">
        <v>63</v>
      </c>
      <c r="B31" s="17"/>
      <c r="C31" s="32">
        <v>0.15</v>
      </c>
      <c r="D31" s="17"/>
      <c r="E31" s="17"/>
      <c r="F31" s="17"/>
      <c r="G31" s="17"/>
      <c r="H31" s="17"/>
      <c r="I31" s="19" t="s">
        <v>61</v>
      </c>
    </row>
    <row r="32" spans="1:9" x14ac:dyDescent="0.3">
      <c r="A32" s="16" t="s">
        <v>64</v>
      </c>
      <c r="B32" s="17"/>
      <c r="C32" s="32">
        <v>0.08</v>
      </c>
      <c r="D32" s="17"/>
      <c r="E32" s="17"/>
      <c r="F32" s="17"/>
      <c r="G32" s="17"/>
      <c r="H32" s="17"/>
      <c r="I32" s="19" t="s">
        <v>65</v>
      </c>
    </row>
    <row r="33" spans="1:9" x14ac:dyDescent="0.3">
      <c r="A33" s="16" t="s">
        <v>66</v>
      </c>
      <c r="B33" s="17"/>
      <c r="C33" s="32">
        <v>9.5000000000000001E-2</v>
      </c>
      <c r="D33" s="17"/>
      <c r="E33" s="17"/>
      <c r="F33" s="17"/>
      <c r="G33" s="17"/>
      <c r="H33" s="17"/>
      <c r="I33" s="19" t="s">
        <v>67</v>
      </c>
    </row>
    <row r="34" spans="1:9" x14ac:dyDescent="0.3">
      <c r="A34" s="16" t="s">
        <v>68</v>
      </c>
      <c r="B34" s="17"/>
      <c r="C34" s="32">
        <v>0.115</v>
      </c>
      <c r="D34" s="17"/>
      <c r="E34" s="17"/>
      <c r="F34" s="17"/>
      <c r="G34" s="17"/>
      <c r="H34" s="17"/>
      <c r="I34" s="19" t="s">
        <v>69</v>
      </c>
    </row>
    <row r="35" spans="1:9" x14ac:dyDescent="0.3">
      <c r="A35" s="16" t="s">
        <v>70</v>
      </c>
      <c r="B35" s="17"/>
      <c r="C35" s="32">
        <v>0.12</v>
      </c>
      <c r="D35" s="17"/>
      <c r="E35" s="17"/>
      <c r="F35" s="17"/>
      <c r="G35" s="17"/>
      <c r="H35" s="17"/>
      <c r="I35" s="19" t="s">
        <v>71</v>
      </c>
    </row>
    <row r="36" spans="1:9" x14ac:dyDescent="0.3">
      <c r="A36" s="16" t="s">
        <v>72</v>
      </c>
      <c r="B36" s="17"/>
      <c r="C36" s="32">
        <v>0.03</v>
      </c>
      <c r="D36" s="17"/>
      <c r="E36" s="17"/>
      <c r="F36" s="17"/>
      <c r="G36" s="17"/>
      <c r="H36" s="17"/>
      <c r="I36" s="19" t="s">
        <v>73</v>
      </c>
    </row>
    <row r="37" spans="1:9" x14ac:dyDescent="0.3">
      <c r="A37" s="16" t="s">
        <v>74</v>
      </c>
      <c r="B37" s="17"/>
      <c r="C37" s="32">
        <v>0.92</v>
      </c>
      <c r="D37" s="17"/>
      <c r="E37" s="17"/>
      <c r="F37" s="17"/>
      <c r="G37" s="17"/>
      <c r="H37" s="17"/>
      <c r="I37" s="19" t="s">
        <v>75</v>
      </c>
    </row>
    <row r="38" spans="1:9" x14ac:dyDescent="0.3">
      <c r="A38" s="17"/>
      <c r="B38" s="17"/>
      <c r="C38" s="17"/>
      <c r="D38" s="17"/>
      <c r="E38" s="17"/>
      <c r="F38" s="17"/>
      <c r="G38" s="17"/>
      <c r="H38" s="17"/>
    </row>
    <row r="39" spans="1:9" x14ac:dyDescent="0.3">
      <c r="A39" s="13" t="s">
        <v>76</v>
      </c>
      <c r="B39" s="14"/>
      <c r="C39" s="14"/>
      <c r="D39" s="14"/>
      <c r="E39" s="14"/>
      <c r="F39" s="14"/>
      <c r="G39" s="14"/>
      <c r="H39" s="14"/>
      <c r="I39" s="15"/>
    </row>
    <row r="40" spans="1:9" x14ac:dyDescent="0.3">
      <c r="A40" s="29" t="s">
        <v>77</v>
      </c>
      <c r="B40" s="29" t="s">
        <v>78</v>
      </c>
      <c r="C40" s="33" t="s">
        <v>79</v>
      </c>
      <c r="D40" s="33" t="s">
        <v>80</v>
      </c>
      <c r="E40" s="33" t="s">
        <v>81</v>
      </c>
      <c r="F40" s="33" t="s">
        <v>82</v>
      </c>
      <c r="G40" s="33" t="s">
        <v>83</v>
      </c>
      <c r="H40" s="29" t="s">
        <v>84</v>
      </c>
      <c r="I40" s="34" t="s">
        <v>85</v>
      </c>
    </row>
    <row r="41" spans="1:9" x14ac:dyDescent="0.3">
      <c r="A41" s="29" t="s">
        <v>86</v>
      </c>
      <c r="B41" s="16" t="s">
        <v>46</v>
      </c>
      <c r="C41" s="30">
        <v>0.2</v>
      </c>
      <c r="D41" s="30">
        <v>0.18</v>
      </c>
      <c r="E41" s="30">
        <v>0.17</v>
      </c>
      <c r="F41" s="30">
        <v>0.16</v>
      </c>
      <c r="G41" s="30">
        <v>0.15</v>
      </c>
      <c r="H41" s="17"/>
      <c r="I41" s="19" t="s">
        <v>857</v>
      </c>
    </row>
    <row r="42" spans="1:9" x14ac:dyDescent="0.3">
      <c r="A42" s="17"/>
      <c r="B42" s="16" t="s">
        <v>47</v>
      </c>
      <c r="C42" s="30">
        <v>0.24</v>
      </c>
      <c r="D42" s="30">
        <v>0.22</v>
      </c>
      <c r="E42" s="30">
        <v>0.21</v>
      </c>
      <c r="F42" s="30">
        <v>0.2</v>
      </c>
      <c r="G42" s="30">
        <v>0.18</v>
      </c>
      <c r="H42" s="17"/>
    </row>
    <row r="43" spans="1:9" x14ac:dyDescent="0.3">
      <c r="A43" s="17"/>
      <c r="B43" s="16" t="s">
        <v>48</v>
      </c>
      <c r="C43" s="30">
        <v>0.1</v>
      </c>
      <c r="D43" s="30">
        <v>0.12</v>
      </c>
      <c r="E43" s="30">
        <v>0.15</v>
      </c>
      <c r="F43" s="30">
        <v>0.15</v>
      </c>
      <c r="G43" s="30">
        <v>0.14000000000000001</v>
      </c>
      <c r="H43" s="17"/>
    </row>
    <row r="44" spans="1:9" x14ac:dyDescent="0.3">
      <c r="A44" s="17"/>
      <c r="B44" s="29" t="s">
        <v>49</v>
      </c>
      <c r="C44" s="31">
        <f>CHOOSE($C$18,C41,C42,C43)</f>
        <v>0.2</v>
      </c>
      <c r="D44" s="31">
        <f t="shared" ref="D44:G44" si="0">CHOOSE($C$18,D41,D42,D43)</f>
        <v>0.18</v>
      </c>
      <c r="E44" s="31">
        <f t="shared" si="0"/>
        <v>0.17</v>
      </c>
      <c r="F44" s="31">
        <f t="shared" si="0"/>
        <v>0.16</v>
      </c>
      <c r="G44" s="31">
        <f t="shared" si="0"/>
        <v>0.15</v>
      </c>
      <c r="H44" s="35">
        <f>Model!E13/Model!D13-1</f>
        <v>0.21047822909052938</v>
      </c>
    </row>
    <row r="45" spans="1:9" x14ac:dyDescent="0.3">
      <c r="A45" s="17"/>
      <c r="B45" s="17"/>
      <c r="C45" s="17"/>
      <c r="D45" s="17"/>
      <c r="E45" s="17"/>
      <c r="F45" s="17"/>
      <c r="G45" s="17"/>
      <c r="H45" s="17"/>
    </row>
    <row r="46" spans="1:9" x14ac:dyDescent="0.3">
      <c r="A46" s="29" t="s">
        <v>87</v>
      </c>
      <c r="B46" s="16" t="s">
        <v>46</v>
      </c>
      <c r="C46" s="30">
        <v>0.25</v>
      </c>
      <c r="D46" s="30">
        <v>0.21</v>
      </c>
      <c r="E46" s="30">
        <v>0.2</v>
      </c>
      <c r="F46" s="30">
        <v>0.18</v>
      </c>
      <c r="G46" s="30">
        <v>0.16</v>
      </c>
      <c r="H46" s="17"/>
      <c r="I46" s="19" t="s">
        <v>840</v>
      </c>
    </row>
    <row r="47" spans="1:9" x14ac:dyDescent="0.3">
      <c r="A47" s="17"/>
      <c r="B47" s="16" t="s">
        <v>47</v>
      </c>
      <c r="C47" s="30">
        <v>0.28999999999999998</v>
      </c>
      <c r="D47" s="30">
        <v>0.26</v>
      </c>
      <c r="E47" s="30">
        <v>0.24</v>
      </c>
      <c r="F47" s="30">
        <v>0.22</v>
      </c>
      <c r="G47" s="30">
        <v>0.21</v>
      </c>
      <c r="H47" s="17"/>
    </row>
    <row r="48" spans="1:9" x14ac:dyDescent="0.3">
      <c r="A48" s="17"/>
      <c r="B48" s="16" t="s">
        <v>48</v>
      </c>
      <c r="C48" s="30">
        <v>0.14000000000000001</v>
      </c>
      <c r="D48" s="30">
        <v>0.15</v>
      </c>
      <c r="E48" s="30">
        <v>0.17</v>
      </c>
      <c r="F48" s="30">
        <v>0.17</v>
      </c>
      <c r="G48" s="30">
        <v>0.16</v>
      </c>
      <c r="H48" s="17"/>
    </row>
    <row r="49" spans="1:9" x14ac:dyDescent="0.3">
      <c r="A49" s="17"/>
      <c r="B49" s="29" t="s">
        <v>49</v>
      </c>
      <c r="C49" s="31">
        <f>CHOOSE($C$18,C46,C47,C48)</f>
        <v>0.25</v>
      </c>
      <c r="D49" s="31">
        <f t="shared" ref="D49:G49" si="1">CHOOSE($C$18,D46,D47,D48)</f>
        <v>0.21</v>
      </c>
      <c r="E49" s="31">
        <f t="shared" si="1"/>
        <v>0.2</v>
      </c>
      <c r="F49" s="31">
        <f t="shared" si="1"/>
        <v>0.18</v>
      </c>
      <c r="G49" s="31">
        <f t="shared" si="1"/>
        <v>0.16</v>
      </c>
      <c r="H49" s="35">
        <f>Model!E14/Model!D14-1</f>
        <v>0.2929191716766868</v>
      </c>
    </row>
    <row r="50" spans="1:9" x14ac:dyDescent="0.3">
      <c r="A50" s="17"/>
      <c r="B50" s="17"/>
      <c r="C50" s="17"/>
      <c r="D50" s="17"/>
      <c r="E50" s="17"/>
      <c r="F50" s="17"/>
      <c r="G50" s="17"/>
      <c r="H50" s="17"/>
    </row>
    <row r="51" spans="1:9" x14ac:dyDescent="0.3">
      <c r="A51" s="29" t="s">
        <v>88</v>
      </c>
      <c r="B51" s="16" t="s">
        <v>46</v>
      </c>
      <c r="C51" s="30">
        <v>0.05</v>
      </c>
      <c r="D51" s="30">
        <v>0.08</v>
      </c>
      <c r="E51" s="30">
        <v>0.12</v>
      </c>
      <c r="F51" s="30">
        <v>0.12</v>
      </c>
      <c r="G51" s="30">
        <v>0.12</v>
      </c>
      <c r="H51" s="17"/>
      <c r="I51" s="19" t="s">
        <v>839</v>
      </c>
    </row>
    <row r="52" spans="1:9" x14ac:dyDescent="0.3">
      <c r="A52" s="17"/>
      <c r="B52" s="16" t="s">
        <v>47</v>
      </c>
      <c r="C52" s="30">
        <v>0.12</v>
      </c>
      <c r="D52" s="30">
        <v>0.16</v>
      </c>
      <c r="E52" s="30">
        <v>0.16</v>
      </c>
      <c r="F52" s="30">
        <v>0.16</v>
      </c>
      <c r="G52" s="30">
        <v>0.16</v>
      </c>
      <c r="H52" s="17"/>
    </row>
    <row r="53" spans="1:9" x14ac:dyDescent="0.3">
      <c r="A53" s="17"/>
      <c r="B53" s="16" t="s">
        <v>48</v>
      </c>
      <c r="C53" s="30">
        <v>-0.1</v>
      </c>
      <c r="D53" s="30">
        <v>0</v>
      </c>
      <c r="E53" s="30">
        <v>0.08</v>
      </c>
      <c r="F53" s="30">
        <v>0.1</v>
      </c>
      <c r="G53" s="30">
        <v>0.1</v>
      </c>
      <c r="H53" s="17"/>
    </row>
    <row r="54" spans="1:9" x14ac:dyDescent="0.3">
      <c r="A54" s="17"/>
      <c r="B54" s="29" t="s">
        <v>49</v>
      </c>
      <c r="C54" s="31">
        <f>CHOOSE($C$18,C51,C52,C53)</f>
        <v>0.05</v>
      </c>
      <c r="D54" s="31">
        <f t="shared" ref="D54:G54" si="2">CHOOSE($C$18,D51,D52,D53)</f>
        <v>0.08</v>
      </c>
      <c r="E54" s="31">
        <f t="shared" si="2"/>
        <v>0.12</v>
      </c>
      <c r="F54" s="31">
        <f t="shared" si="2"/>
        <v>0.12</v>
      </c>
      <c r="G54" s="31">
        <f t="shared" si="2"/>
        <v>0.12</v>
      </c>
      <c r="H54" s="35">
        <f>Model!E15/Model!D15-1</f>
        <v>3.0704915669597765E-2</v>
      </c>
    </row>
    <row r="55" spans="1:9" x14ac:dyDescent="0.3">
      <c r="A55" s="17"/>
      <c r="B55" s="17"/>
      <c r="C55" s="17"/>
      <c r="D55" s="17"/>
      <c r="E55" s="17"/>
      <c r="F55" s="17"/>
      <c r="G55" s="17"/>
      <c r="H55" s="17"/>
    </row>
    <row r="56" spans="1:9" x14ac:dyDescent="0.3">
      <c r="A56" s="29" t="s">
        <v>89</v>
      </c>
      <c r="B56" s="16" t="s">
        <v>46</v>
      </c>
      <c r="C56" s="30">
        <v>0</v>
      </c>
      <c r="D56" s="30">
        <v>0.1</v>
      </c>
      <c r="E56" s="30">
        <v>0.15</v>
      </c>
      <c r="F56" s="30">
        <v>0.15</v>
      </c>
      <c r="G56" s="30">
        <v>0.15</v>
      </c>
      <c r="H56" s="17"/>
      <c r="I56" s="19" t="s">
        <v>90</v>
      </c>
    </row>
    <row r="57" spans="1:9" x14ac:dyDescent="0.3">
      <c r="A57" s="17"/>
      <c r="B57" s="16" t="s">
        <v>47</v>
      </c>
      <c r="C57" s="30">
        <v>0.05</v>
      </c>
      <c r="D57" s="30">
        <v>0.15</v>
      </c>
      <c r="E57" s="30">
        <v>0.2</v>
      </c>
      <c r="F57" s="30">
        <v>0.2</v>
      </c>
      <c r="G57" s="30">
        <v>0.2</v>
      </c>
      <c r="H57" s="17"/>
    </row>
    <row r="58" spans="1:9" x14ac:dyDescent="0.3">
      <c r="A58" s="17"/>
      <c r="B58" s="16" t="s">
        <v>48</v>
      </c>
      <c r="C58" s="30">
        <v>-0.15</v>
      </c>
      <c r="D58" s="30">
        <v>-0.05</v>
      </c>
      <c r="E58" s="30">
        <v>0.08</v>
      </c>
      <c r="F58" s="30">
        <v>0.1</v>
      </c>
      <c r="G58" s="30">
        <v>0.1</v>
      </c>
      <c r="H58" s="17"/>
    </row>
    <row r="59" spans="1:9" x14ac:dyDescent="0.3">
      <c r="A59" s="17"/>
      <c r="B59" s="29" t="s">
        <v>49</v>
      </c>
      <c r="C59" s="31">
        <f>CHOOSE($C$18,C56,C57,C58)</f>
        <v>0</v>
      </c>
      <c r="D59" s="31">
        <f t="shared" ref="D59:G59" si="3">CHOOSE($C$18,D56,D57,D58)</f>
        <v>0.1</v>
      </c>
      <c r="E59" s="31">
        <f t="shared" si="3"/>
        <v>0.15</v>
      </c>
      <c r="F59" s="31">
        <f t="shared" si="3"/>
        <v>0.15</v>
      </c>
      <c r="G59" s="31">
        <f t="shared" si="3"/>
        <v>0.15</v>
      </c>
      <c r="H59" s="35">
        <f>Model!E16/Model!D16-1</f>
        <v>-0.10364741641337383</v>
      </c>
    </row>
    <row r="60" spans="1:9" x14ac:dyDescent="0.3">
      <c r="A60" s="17"/>
      <c r="B60" s="17"/>
      <c r="C60" s="17"/>
      <c r="D60" s="17"/>
      <c r="E60" s="17"/>
      <c r="F60" s="17"/>
      <c r="G60" s="17"/>
      <c r="H60" s="17"/>
    </row>
    <row r="61" spans="1:9" x14ac:dyDescent="0.3">
      <c r="A61" s="29" t="s">
        <v>91</v>
      </c>
      <c r="B61" s="16" t="s">
        <v>46</v>
      </c>
      <c r="C61" s="30">
        <v>0.2</v>
      </c>
      <c r="D61" s="30">
        <v>0.18</v>
      </c>
      <c r="E61" s="30">
        <v>0.16</v>
      </c>
      <c r="F61" s="30">
        <v>0.15</v>
      </c>
      <c r="G61" s="30">
        <v>0.15</v>
      </c>
      <c r="H61" s="17"/>
      <c r="I61" s="19" t="s">
        <v>92</v>
      </c>
    </row>
    <row r="62" spans="1:9" x14ac:dyDescent="0.3">
      <c r="A62" s="17"/>
      <c r="B62" s="16" t="s">
        <v>47</v>
      </c>
      <c r="C62" s="30">
        <v>0.24</v>
      </c>
      <c r="D62" s="30">
        <v>0.22</v>
      </c>
      <c r="E62" s="30">
        <v>0.2</v>
      </c>
      <c r="F62" s="30">
        <v>0.19</v>
      </c>
      <c r="G62" s="30">
        <v>0.19</v>
      </c>
      <c r="H62" s="17"/>
    </row>
    <row r="63" spans="1:9" x14ac:dyDescent="0.3">
      <c r="A63" s="17"/>
      <c r="B63" s="16" t="s">
        <v>48</v>
      </c>
      <c r="C63" s="30">
        <v>0.1</v>
      </c>
      <c r="D63" s="30">
        <v>0.12</v>
      </c>
      <c r="E63" s="30">
        <v>0.14000000000000001</v>
      </c>
      <c r="F63" s="30">
        <v>0.14000000000000001</v>
      </c>
      <c r="G63" s="30">
        <v>0.14000000000000001</v>
      </c>
      <c r="H63" s="17"/>
    </row>
    <row r="64" spans="1:9" x14ac:dyDescent="0.3">
      <c r="A64" s="17"/>
      <c r="B64" s="29" t="s">
        <v>49</v>
      </c>
      <c r="C64" s="31">
        <f>CHOOSE($C$18,C61,C62,C63)</f>
        <v>0.2</v>
      </c>
      <c r="D64" s="31">
        <f t="shared" ref="D64:G64" si="4">CHOOSE($C$18,D61,D62,D63)</f>
        <v>0.18</v>
      </c>
      <c r="E64" s="31">
        <f t="shared" si="4"/>
        <v>0.16</v>
      </c>
      <c r="F64" s="31">
        <f t="shared" si="4"/>
        <v>0.15</v>
      </c>
      <c r="G64" s="31">
        <f t="shared" si="4"/>
        <v>0.15</v>
      </c>
      <c r="H64" s="35">
        <f>Model!E17/Model!D17-1</f>
        <v>0.32776532898757393</v>
      </c>
    </row>
    <row r="65" spans="1:9" x14ac:dyDescent="0.3">
      <c r="A65" s="17"/>
      <c r="B65" s="17"/>
      <c r="C65" s="17"/>
      <c r="D65" s="17"/>
      <c r="E65" s="17"/>
      <c r="F65" s="17"/>
      <c r="G65" s="17"/>
      <c r="H65" s="17"/>
    </row>
    <row r="66" spans="1:9" x14ac:dyDescent="0.3">
      <c r="A66" s="29" t="s">
        <v>93</v>
      </c>
      <c r="B66" s="16" t="s">
        <v>46</v>
      </c>
      <c r="C66" s="36">
        <v>0.95699999999999996</v>
      </c>
      <c r="D66" s="36">
        <v>0.95699999999999996</v>
      </c>
      <c r="E66" s="36">
        <v>0.95699999999999996</v>
      </c>
      <c r="F66" s="36">
        <v>0.95699999999999996</v>
      </c>
      <c r="G66" s="36">
        <v>0.95699999999999996</v>
      </c>
      <c r="H66" s="17"/>
      <c r="I66" s="19" t="s">
        <v>94</v>
      </c>
    </row>
    <row r="67" spans="1:9" x14ac:dyDescent="0.3">
      <c r="A67" s="17"/>
      <c r="B67" s="16" t="s">
        <v>47</v>
      </c>
      <c r="C67" s="36">
        <v>0.95699999999999996</v>
      </c>
      <c r="D67" s="36">
        <v>0.95699999999999996</v>
      </c>
      <c r="E67" s="36">
        <v>0.95699999999999996</v>
      </c>
      <c r="F67" s="36">
        <v>0.95699999999999996</v>
      </c>
      <c r="G67" s="36">
        <v>0.95699999999999996</v>
      </c>
      <c r="H67" s="17"/>
    </row>
    <row r="68" spans="1:9" x14ac:dyDescent="0.3">
      <c r="A68" s="17"/>
      <c r="B68" s="16" t="s">
        <v>48</v>
      </c>
      <c r="C68" s="36">
        <v>0.95</v>
      </c>
      <c r="D68" s="36">
        <v>0.95</v>
      </c>
      <c r="E68" s="36">
        <v>0.95199999999999996</v>
      </c>
      <c r="F68" s="36">
        <v>0.95499999999999996</v>
      </c>
      <c r="G68" s="36">
        <v>0.95499999999999996</v>
      </c>
      <c r="H68" s="17"/>
    </row>
    <row r="69" spans="1:9" x14ac:dyDescent="0.3">
      <c r="A69" s="17"/>
      <c r="B69" s="29" t="s">
        <v>49</v>
      </c>
      <c r="C69" s="37">
        <f>CHOOSE($C$18,C66,C67,C68)</f>
        <v>0.95699999999999996</v>
      </c>
      <c r="D69" s="37">
        <f>CHOOSE($C$18,D66,D67,D68)</f>
        <v>0.95699999999999996</v>
      </c>
      <c r="E69" s="37">
        <f>CHOOSE($C$18,E66,E67,E68)</f>
        <v>0.95699999999999996</v>
      </c>
      <c r="F69" s="37">
        <f>CHOOSE($C$18,F66,F67,F68)</f>
        <v>0.95699999999999996</v>
      </c>
      <c r="G69" s="37">
        <f>CHOOSE($C$18,G66,G67,G68)</f>
        <v>0.95699999999999996</v>
      </c>
      <c r="H69" s="38">
        <f>Model!E20</f>
        <v>0.9568766595167002</v>
      </c>
    </row>
    <row r="70" spans="1:9" x14ac:dyDescent="0.3">
      <c r="A70" s="17"/>
      <c r="B70" s="17"/>
      <c r="C70" s="17"/>
      <c r="D70" s="17"/>
      <c r="E70" s="17"/>
      <c r="F70" s="17"/>
      <c r="G70" s="17"/>
      <c r="H70" s="17"/>
    </row>
    <row r="71" spans="1:9" x14ac:dyDescent="0.3">
      <c r="A71" s="29" t="s">
        <v>95</v>
      </c>
      <c r="B71" s="16" t="s">
        <v>46</v>
      </c>
      <c r="C71" s="30">
        <v>0.88</v>
      </c>
      <c r="D71" s="30">
        <v>0.88</v>
      </c>
      <c r="E71" s="30">
        <v>0.88</v>
      </c>
      <c r="F71" s="30">
        <v>0.88</v>
      </c>
      <c r="G71" s="30">
        <v>0.88</v>
      </c>
      <c r="H71" s="17"/>
      <c r="I71" s="19" t="s">
        <v>96</v>
      </c>
    </row>
    <row r="72" spans="1:9" x14ac:dyDescent="0.3">
      <c r="A72" s="17"/>
      <c r="B72" s="16" t="s">
        <v>47</v>
      </c>
      <c r="C72" s="30">
        <v>0.89</v>
      </c>
      <c r="D72" s="30">
        <v>0.89</v>
      </c>
      <c r="E72" s="30">
        <v>0.89</v>
      </c>
      <c r="F72" s="30">
        <v>0.89</v>
      </c>
      <c r="G72" s="30">
        <v>0.89</v>
      </c>
      <c r="H72" s="17"/>
    </row>
    <row r="73" spans="1:9" x14ac:dyDescent="0.3">
      <c r="A73" s="17"/>
      <c r="B73" s="16" t="s">
        <v>48</v>
      </c>
      <c r="C73" s="30">
        <v>0.86</v>
      </c>
      <c r="D73" s="30">
        <v>0.86</v>
      </c>
      <c r="E73" s="30">
        <v>0.87</v>
      </c>
      <c r="F73" s="30">
        <v>0.87</v>
      </c>
      <c r="G73" s="30">
        <v>0.87</v>
      </c>
      <c r="H73" s="17"/>
    </row>
    <row r="74" spans="1:9" x14ac:dyDescent="0.3">
      <c r="A74" s="17"/>
      <c r="B74" s="29" t="s">
        <v>49</v>
      </c>
      <c r="C74" s="31">
        <f>CHOOSE($C$18,C71,C72,C73)</f>
        <v>0.88</v>
      </c>
      <c r="D74" s="31">
        <f>CHOOSE($C$18,D71,D72,D73)</f>
        <v>0.88</v>
      </c>
      <c r="E74" s="31">
        <f>CHOOSE($C$18,E71,E72,E73)</f>
        <v>0.88</v>
      </c>
      <c r="F74" s="31">
        <f>CHOOSE($C$18,F71,F72,F73)</f>
        <v>0.88</v>
      </c>
      <c r="G74" s="31">
        <f>CHOOSE($C$18,G71,G72,G73)</f>
        <v>0.88</v>
      </c>
      <c r="H74" s="35">
        <f>Model!E26</f>
        <v>0.87956640655368779</v>
      </c>
    </row>
    <row r="75" spans="1:9" x14ac:dyDescent="0.3">
      <c r="A75" s="17"/>
      <c r="B75" s="17"/>
      <c r="C75" s="17"/>
      <c r="D75" s="17"/>
      <c r="E75" s="17"/>
      <c r="F75" s="17"/>
      <c r="G75" s="17"/>
      <c r="H75" s="17"/>
    </row>
    <row r="76" spans="1:9" x14ac:dyDescent="0.3">
      <c r="A76" s="29" t="s">
        <v>97</v>
      </c>
      <c r="B76" s="16" t="s">
        <v>46</v>
      </c>
      <c r="C76" s="30">
        <v>0.28499999999999998</v>
      </c>
      <c r="D76" s="30">
        <v>0.28999999999999998</v>
      </c>
      <c r="E76" s="30">
        <v>0.29499999999999998</v>
      </c>
      <c r="F76" s="30">
        <v>0.3</v>
      </c>
      <c r="G76" s="30">
        <v>0.30499999999999999</v>
      </c>
      <c r="H76" s="17"/>
      <c r="I76" s="19" t="s">
        <v>98</v>
      </c>
    </row>
    <row r="77" spans="1:9" x14ac:dyDescent="0.3">
      <c r="A77" s="17"/>
      <c r="B77" s="16" t="s">
        <v>47</v>
      </c>
      <c r="C77" s="30">
        <v>0.28999999999999998</v>
      </c>
      <c r="D77" s="30">
        <v>0.3</v>
      </c>
      <c r="E77" s="30">
        <v>0.31</v>
      </c>
      <c r="F77" s="30">
        <v>0.32</v>
      </c>
      <c r="G77" s="30">
        <v>0.33</v>
      </c>
      <c r="H77" s="17"/>
    </row>
    <row r="78" spans="1:9" x14ac:dyDescent="0.3">
      <c r="A78" s="17"/>
      <c r="B78" s="16" t="s">
        <v>48</v>
      </c>
      <c r="C78" s="30">
        <v>0.27</v>
      </c>
      <c r="D78" s="30">
        <v>0.27</v>
      </c>
      <c r="E78" s="30">
        <v>0.27500000000000002</v>
      </c>
      <c r="F78" s="30">
        <v>0.28000000000000003</v>
      </c>
      <c r="G78" s="30">
        <v>0.28499999999999998</v>
      </c>
      <c r="H78" s="17"/>
    </row>
    <row r="79" spans="1:9" x14ac:dyDescent="0.3">
      <c r="A79" s="17"/>
      <c r="B79" s="29" t="s">
        <v>49</v>
      </c>
      <c r="C79" s="31">
        <f>CHOOSE($C$18,C76,C77,C78)</f>
        <v>0.28499999999999998</v>
      </c>
      <c r="D79" s="31">
        <f>CHOOSE($C$18,D76,D77,D78)</f>
        <v>0.28999999999999998</v>
      </c>
      <c r="E79" s="31">
        <f>CHOOSE($C$18,E76,E77,E78)</f>
        <v>0.29499999999999998</v>
      </c>
      <c r="F79" s="31">
        <f>CHOOSE($C$18,F76,F77,F78)</f>
        <v>0.3</v>
      </c>
      <c r="G79" s="31">
        <f>CHOOSE($C$18,G76,G77,G78)</f>
        <v>0.30499999999999999</v>
      </c>
      <c r="H79" s="35">
        <f>Model!E28</f>
        <v>0.2840080542160941</v>
      </c>
    </row>
    <row r="80" spans="1:9" x14ac:dyDescent="0.3">
      <c r="A80" s="17"/>
      <c r="B80" s="17"/>
      <c r="C80" s="17"/>
      <c r="D80" s="17"/>
      <c r="E80" s="17"/>
      <c r="F80" s="17"/>
      <c r="G80" s="17"/>
      <c r="H80" s="17"/>
    </row>
    <row r="81" spans="1:9" x14ac:dyDescent="0.3">
      <c r="A81" s="29" t="s">
        <v>99</v>
      </c>
      <c r="B81" s="16" t="s">
        <v>46</v>
      </c>
      <c r="C81" s="30">
        <v>0.28999999999999998</v>
      </c>
      <c r="D81" s="30">
        <v>0.28999999999999998</v>
      </c>
      <c r="E81" s="30">
        <v>0.28999999999999998</v>
      </c>
      <c r="F81" s="30">
        <v>0.28999999999999998</v>
      </c>
      <c r="G81" s="30">
        <v>0.28999999999999998</v>
      </c>
      <c r="H81" s="17"/>
      <c r="I81" s="19" t="s">
        <v>100</v>
      </c>
    </row>
    <row r="82" spans="1:9" x14ac:dyDescent="0.3">
      <c r="A82" s="17"/>
      <c r="B82" s="16" t="s">
        <v>47</v>
      </c>
      <c r="C82" s="30">
        <v>0.28999999999999998</v>
      </c>
      <c r="D82" s="30">
        <v>0.28999999999999998</v>
      </c>
      <c r="E82" s="30">
        <v>0.28999999999999998</v>
      </c>
      <c r="F82" s="30">
        <v>0.28999999999999998</v>
      </c>
      <c r="G82" s="30">
        <v>0.28999999999999998</v>
      </c>
      <c r="H82" s="17"/>
    </row>
    <row r="83" spans="1:9" x14ac:dyDescent="0.3">
      <c r="A83" s="17"/>
      <c r="B83" s="16" t="s">
        <v>48</v>
      </c>
      <c r="C83" s="30">
        <v>0.3</v>
      </c>
      <c r="D83" s="30">
        <v>0.3</v>
      </c>
      <c r="E83" s="30">
        <v>0.3</v>
      </c>
      <c r="F83" s="30">
        <v>0.28999999999999998</v>
      </c>
      <c r="G83" s="30">
        <v>0.28999999999999998</v>
      </c>
      <c r="H83" s="17"/>
    </row>
    <row r="84" spans="1:9" x14ac:dyDescent="0.3">
      <c r="A84" s="17"/>
      <c r="B84" s="29" t="s">
        <v>49</v>
      </c>
      <c r="C84" s="31">
        <f>CHOOSE($C$18,C81,C82,C83)</f>
        <v>0.28999999999999998</v>
      </c>
      <c r="D84" s="31">
        <f>CHOOSE($C$18,D81,D82,D83)</f>
        <v>0.28999999999999998</v>
      </c>
      <c r="E84" s="31">
        <f>CHOOSE($C$18,E81,E82,E83)</f>
        <v>0.28999999999999998</v>
      </c>
      <c r="F84" s="31">
        <f>CHOOSE($C$18,F81,F82,F83)</f>
        <v>0.28999999999999998</v>
      </c>
      <c r="G84" s="31">
        <f>CHOOSE($C$18,G81,G82,G83)</f>
        <v>0.28999999999999998</v>
      </c>
      <c r="H84" s="35">
        <f>Model!E40/Model!E25</f>
        <v>0.29341877313806797</v>
      </c>
    </row>
    <row r="85" spans="1:9" x14ac:dyDescent="0.3">
      <c r="A85" s="17"/>
      <c r="B85" s="17"/>
      <c r="C85" s="17"/>
      <c r="D85" s="17"/>
      <c r="E85" s="17"/>
      <c r="F85" s="17"/>
      <c r="G85" s="17"/>
      <c r="H85" s="17"/>
    </row>
    <row r="86" spans="1:9" x14ac:dyDescent="0.3">
      <c r="A86" s="29" t="s">
        <v>101</v>
      </c>
      <c r="B86" s="16" t="s">
        <v>46</v>
      </c>
      <c r="C86" s="30">
        <v>0.09</v>
      </c>
      <c r="D86" s="30">
        <v>0.09</v>
      </c>
      <c r="E86" s="30">
        <v>0.09</v>
      </c>
      <c r="F86" s="30">
        <v>0.09</v>
      </c>
      <c r="G86" s="30">
        <v>0.09</v>
      </c>
      <c r="H86" s="17"/>
      <c r="I86" s="19" t="s">
        <v>102</v>
      </c>
    </row>
    <row r="87" spans="1:9" x14ac:dyDescent="0.3">
      <c r="A87" s="17"/>
      <c r="B87" s="16" t="s">
        <v>47</v>
      </c>
      <c r="C87" s="30">
        <v>0.09</v>
      </c>
      <c r="D87" s="30">
        <v>0.09</v>
      </c>
      <c r="E87" s="30">
        <v>0.09</v>
      </c>
      <c r="F87" s="30">
        <v>0.09</v>
      </c>
      <c r="G87" s="30">
        <v>0.09</v>
      </c>
      <c r="H87" s="17"/>
    </row>
    <row r="88" spans="1:9" x14ac:dyDescent="0.3">
      <c r="A88" s="17"/>
      <c r="B88" s="16" t="s">
        <v>48</v>
      </c>
      <c r="C88" s="30">
        <v>0.1</v>
      </c>
      <c r="D88" s="30">
        <v>0.1</v>
      </c>
      <c r="E88" s="30">
        <v>0.1</v>
      </c>
      <c r="F88" s="30">
        <v>9.5000000000000001E-2</v>
      </c>
      <c r="G88" s="30">
        <v>0.09</v>
      </c>
      <c r="H88" s="17"/>
    </row>
    <row r="89" spans="1:9" x14ac:dyDescent="0.3">
      <c r="A89" s="17"/>
      <c r="B89" s="29" t="s">
        <v>49</v>
      </c>
      <c r="C89" s="31">
        <f>CHOOSE($C$18,C86,C87,C88)</f>
        <v>0.09</v>
      </c>
      <c r="D89" s="31">
        <f>CHOOSE($C$18,D86,D87,D88)</f>
        <v>0.09</v>
      </c>
      <c r="E89" s="31">
        <f>CHOOSE($C$18,E86,E87,E88)</f>
        <v>0.09</v>
      </c>
      <c r="F89" s="31">
        <f>CHOOSE($C$18,F86,F87,F88)</f>
        <v>0.09</v>
      </c>
      <c r="G89" s="31">
        <f>CHOOSE($C$18,G86,G87,G88)</f>
        <v>0.09</v>
      </c>
      <c r="H89" s="35">
        <f>Model!E31/Model!E25</f>
        <v>9.086492190923201E-2</v>
      </c>
    </row>
    <row r="90" spans="1:9" x14ac:dyDescent="0.3">
      <c r="A90" s="17"/>
      <c r="B90" s="17"/>
      <c r="C90" s="17"/>
      <c r="D90" s="17"/>
      <c r="E90" s="17"/>
      <c r="F90" s="17"/>
      <c r="G90" s="17"/>
      <c r="H90" s="17"/>
    </row>
    <row r="91" spans="1:9" x14ac:dyDescent="0.3">
      <c r="A91" s="29" t="s">
        <v>103</v>
      </c>
      <c r="B91" s="16" t="s">
        <v>46</v>
      </c>
      <c r="C91" s="30">
        <v>3.5000000000000003E-2</v>
      </c>
      <c r="D91" s="30">
        <v>3.5000000000000003E-2</v>
      </c>
      <c r="E91" s="30">
        <v>3.5000000000000003E-2</v>
      </c>
      <c r="F91" s="30">
        <v>3.5000000000000003E-2</v>
      </c>
      <c r="G91" s="30">
        <v>3.5000000000000003E-2</v>
      </c>
      <c r="H91" s="17"/>
      <c r="I91" s="19" t="s">
        <v>104</v>
      </c>
    </row>
    <row r="92" spans="1:9" x14ac:dyDescent="0.3">
      <c r="A92" s="17"/>
      <c r="B92" s="16" t="s">
        <v>47</v>
      </c>
      <c r="C92" s="30">
        <v>3.5000000000000003E-2</v>
      </c>
      <c r="D92" s="30">
        <v>3.5000000000000003E-2</v>
      </c>
      <c r="E92" s="30">
        <v>3.5000000000000003E-2</v>
      </c>
      <c r="F92" s="30">
        <v>3.5000000000000003E-2</v>
      </c>
      <c r="G92" s="30">
        <v>3.5000000000000003E-2</v>
      </c>
      <c r="H92" s="17"/>
    </row>
    <row r="93" spans="1:9" x14ac:dyDescent="0.3">
      <c r="A93" s="17"/>
      <c r="B93" s="16" t="s">
        <v>48</v>
      </c>
      <c r="C93" s="30">
        <v>3.5000000000000003E-2</v>
      </c>
      <c r="D93" s="30">
        <v>3.5000000000000003E-2</v>
      </c>
      <c r="E93" s="30">
        <v>3.5000000000000003E-2</v>
      </c>
      <c r="F93" s="30">
        <v>3.5000000000000003E-2</v>
      </c>
      <c r="G93" s="30">
        <v>3.5000000000000003E-2</v>
      </c>
      <c r="H93" s="17"/>
    </row>
    <row r="94" spans="1:9" x14ac:dyDescent="0.3">
      <c r="A94" s="17"/>
      <c r="B94" s="29" t="s">
        <v>49</v>
      </c>
      <c r="C94" s="31">
        <f>CHOOSE($C$18,C91,C92,C93)</f>
        <v>3.5000000000000003E-2</v>
      </c>
      <c r="D94" s="31">
        <f>CHOOSE($C$18,D91,D92,D93)</f>
        <v>3.5000000000000003E-2</v>
      </c>
      <c r="E94" s="31">
        <f>CHOOSE($C$18,E91,E92,E93)</f>
        <v>3.5000000000000003E-2</v>
      </c>
      <c r="F94" s="31">
        <f>CHOOSE($C$18,F91,F92,F93)</f>
        <v>3.5000000000000003E-2</v>
      </c>
      <c r="G94" s="31">
        <f>CHOOSE($C$18,G91,G92,G93)</f>
        <v>3.5000000000000003E-2</v>
      </c>
      <c r="H94" s="35">
        <f>Model!E32/Model!E25</f>
        <v>3.4660012924636198E-2</v>
      </c>
    </row>
    <row r="95" spans="1:9" x14ac:dyDescent="0.3">
      <c r="A95" s="17"/>
      <c r="B95" s="17"/>
      <c r="C95" s="17"/>
      <c r="D95" s="17"/>
      <c r="E95" s="17"/>
      <c r="F95" s="17"/>
      <c r="G95" s="17"/>
      <c r="H95" s="17"/>
    </row>
    <row r="96" spans="1:9" x14ac:dyDescent="0.3">
      <c r="A96" s="29" t="s">
        <v>105</v>
      </c>
      <c r="B96" s="16" t="s">
        <v>46</v>
      </c>
      <c r="C96" s="30">
        <v>2.1000000000000001E-2</v>
      </c>
      <c r="D96" s="30">
        <v>2.1000000000000001E-2</v>
      </c>
      <c r="E96" s="30">
        <v>2.1000000000000001E-2</v>
      </c>
      <c r="F96" s="30">
        <v>2.1000000000000001E-2</v>
      </c>
      <c r="G96" s="30">
        <v>2.1000000000000001E-2</v>
      </c>
      <c r="H96" s="17"/>
      <c r="I96" s="19" t="s">
        <v>106</v>
      </c>
    </row>
    <row r="97" spans="1:9" x14ac:dyDescent="0.3">
      <c r="A97" s="17"/>
      <c r="B97" s="16" t="s">
        <v>47</v>
      </c>
      <c r="C97" s="30">
        <v>2.1000000000000001E-2</v>
      </c>
      <c r="D97" s="30">
        <v>2.1000000000000001E-2</v>
      </c>
      <c r="E97" s="30">
        <v>2.1000000000000001E-2</v>
      </c>
      <c r="F97" s="30">
        <v>2.1000000000000001E-2</v>
      </c>
      <c r="G97" s="30">
        <v>2.1000000000000001E-2</v>
      </c>
      <c r="H97" s="17"/>
    </row>
    <row r="98" spans="1:9" x14ac:dyDescent="0.3">
      <c r="A98" s="17"/>
      <c r="B98" s="16" t="s">
        <v>48</v>
      </c>
      <c r="C98" s="30">
        <v>2.1999999999999999E-2</v>
      </c>
      <c r="D98" s="30">
        <v>2.1999999999999999E-2</v>
      </c>
      <c r="E98" s="30">
        <v>2.1999999999999999E-2</v>
      </c>
      <c r="F98" s="30">
        <v>2.1999999999999999E-2</v>
      </c>
      <c r="G98" s="30">
        <v>2.1999999999999999E-2</v>
      </c>
      <c r="H98" s="17"/>
    </row>
    <row r="99" spans="1:9" x14ac:dyDescent="0.3">
      <c r="A99" s="17"/>
      <c r="B99" s="29" t="s">
        <v>49</v>
      </c>
      <c r="C99" s="31">
        <f>CHOOSE($C$18,C96,C97,C98)</f>
        <v>2.1000000000000001E-2</v>
      </c>
      <c r="D99" s="31">
        <f>CHOOSE($C$18,D96,D97,D98)</f>
        <v>2.1000000000000001E-2</v>
      </c>
      <c r="E99" s="31">
        <f>CHOOSE($C$18,E96,E97,E98)</f>
        <v>2.1000000000000001E-2</v>
      </c>
      <c r="F99" s="31">
        <f>CHOOSE($C$18,F96,F97,F98)</f>
        <v>2.1000000000000001E-2</v>
      </c>
      <c r="G99" s="31">
        <f>CHOOSE($C$18,G96,G97,G98)</f>
        <v>2.1000000000000001E-2</v>
      </c>
      <c r="H99" s="35">
        <f>Model!E42/Model!E21</f>
        <v>2.061724885880447E-2</v>
      </c>
    </row>
    <row r="100" spans="1:9" x14ac:dyDescent="0.3">
      <c r="A100" s="17"/>
      <c r="B100" s="17"/>
      <c r="C100" s="17"/>
      <c r="D100" s="17"/>
      <c r="E100" s="17"/>
      <c r="F100" s="17"/>
      <c r="G100" s="17"/>
      <c r="H100" s="17"/>
    </row>
    <row r="101" spans="1:9" x14ac:dyDescent="0.3">
      <c r="A101" s="29" t="s">
        <v>107</v>
      </c>
      <c r="B101" s="16" t="s">
        <v>46</v>
      </c>
      <c r="C101" s="30">
        <v>0.1</v>
      </c>
      <c r="D101" s="30">
        <v>0.1</v>
      </c>
      <c r="E101" s="30">
        <v>0.1</v>
      </c>
      <c r="F101" s="30">
        <v>0.1</v>
      </c>
      <c r="G101" s="30">
        <v>0.1</v>
      </c>
      <c r="H101" s="17"/>
      <c r="I101" s="19" t="s">
        <v>108</v>
      </c>
    </row>
    <row r="102" spans="1:9" x14ac:dyDescent="0.3">
      <c r="A102" s="17"/>
      <c r="B102" s="16" t="s">
        <v>47</v>
      </c>
      <c r="C102" s="30">
        <v>0.1</v>
      </c>
      <c r="D102" s="30">
        <v>0.1</v>
      </c>
      <c r="E102" s="30">
        <v>0.1</v>
      </c>
      <c r="F102" s="30">
        <v>0.1</v>
      </c>
      <c r="G102" s="30">
        <v>0.1</v>
      </c>
      <c r="H102" s="17"/>
    </row>
    <row r="103" spans="1:9" x14ac:dyDescent="0.3">
      <c r="A103" s="17"/>
      <c r="B103" s="16" t="s">
        <v>48</v>
      </c>
      <c r="C103" s="30">
        <v>0.08</v>
      </c>
      <c r="D103" s="30">
        <v>0.08</v>
      </c>
      <c r="E103" s="30">
        <v>0.08</v>
      </c>
      <c r="F103" s="30">
        <v>0.08</v>
      </c>
      <c r="G103" s="30">
        <v>0.08</v>
      </c>
      <c r="H103" s="17"/>
    </row>
    <row r="104" spans="1:9" x14ac:dyDescent="0.3">
      <c r="A104" s="17"/>
      <c r="B104" s="29" t="s">
        <v>49</v>
      </c>
      <c r="C104" s="31">
        <f>CHOOSE($C$18,C101,C102,C103)</f>
        <v>0.1</v>
      </c>
      <c r="D104" s="31">
        <f>CHOOSE($C$18,D101,D102,D103)</f>
        <v>0.1</v>
      </c>
      <c r="E104" s="31">
        <f>CHOOSE($C$18,E101,E102,E103)</f>
        <v>0.1</v>
      </c>
      <c r="F104" s="31">
        <f>CHOOSE($C$18,F101,F102,F103)</f>
        <v>0.1</v>
      </c>
      <c r="G104" s="31">
        <f>CHOOSE($C$18,G101,G102,G103)</f>
        <v>0.1</v>
      </c>
      <c r="H104" s="35">
        <f>Model!E41/Model!D41-1</f>
        <v>0.57417729465189482</v>
      </c>
    </row>
    <row r="105" spans="1:9" x14ac:dyDescent="0.3">
      <c r="A105" s="17"/>
      <c r="B105" s="17"/>
      <c r="C105" s="17"/>
      <c r="D105" s="17"/>
      <c r="E105" s="17"/>
      <c r="F105" s="17"/>
      <c r="G105" s="17"/>
      <c r="H105" s="17"/>
    </row>
    <row r="106" spans="1:9" x14ac:dyDescent="0.3">
      <c r="A106" s="29" t="s">
        <v>109</v>
      </c>
      <c r="B106" s="16" t="s">
        <v>46</v>
      </c>
      <c r="C106" s="25">
        <v>0.1285</v>
      </c>
      <c r="D106" s="25">
        <v>0.128</v>
      </c>
      <c r="E106" s="25">
        <v>0.1275</v>
      </c>
      <c r="F106" s="25">
        <v>0.1275</v>
      </c>
      <c r="G106" s="25">
        <v>0.1275</v>
      </c>
      <c r="H106" s="17"/>
      <c r="I106" s="19" t="s">
        <v>110</v>
      </c>
    </row>
    <row r="107" spans="1:9" x14ac:dyDescent="0.3">
      <c r="A107" s="17"/>
      <c r="B107" s="16" t="s">
        <v>47</v>
      </c>
      <c r="C107" s="25">
        <v>0.129</v>
      </c>
      <c r="D107" s="25">
        <v>0.1288</v>
      </c>
      <c r="E107" s="25">
        <v>0.1285</v>
      </c>
      <c r="F107" s="25">
        <v>0.1285</v>
      </c>
      <c r="G107" s="25">
        <v>0.1285</v>
      </c>
      <c r="H107" s="17"/>
    </row>
    <row r="108" spans="1:9" x14ac:dyDescent="0.3">
      <c r="A108" s="17"/>
      <c r="B108" s="16" t="s">
        <v>48</v>
      </c>
      <c r="C108" s="25">
        <v>0.127</v>
      </c>
      <c r="D108" s="25">
        <v>0.126</v>
      </c>
      <c r="E108" s="25">
        <v>0.1255</v>
      </c>
      <c r="F108" s="25">
        <v>0.1255</v>
      </c>
      <c r="G108" s="25">
        <v>0.1255</v>
      </c>
      <c r="H108" s="17"/>
    </row>
    <row r="109" spans="1:9" x14ac:dyDescent="0.3">
      <c r="A109" s="17"/>
      <c r="B109" s="29" t="s">
        <v>49</v>
      </c>
      <c r="C109" s="39">
        <f>CHOOSE($C$18,C106,C107,C108)</f>
        <v>0.1285</v>
      </c>
      <c r="D109" s="39">
        <f>CHOOSE($C$18,D106,D107,D108)</f>
        <v>0.128</v>
      </c>
      <c r="E109" s="39">
        <f>CHOOSE($C$18,E106,E107,E108)</f>
        <v>0.1275</v>
      </c>
      <c r="F109" s="39">
        <f>CHOOSE($C$18,F106,F107,F108)</f>
        <v>0.1275</v>
      </c>
      <c r="G109" s="39">
        <f>CHOOSE($C$18,G106,G107,G108)</f>
        <v>0.1275</v>
      </c>
      <c r="H109" s="23">
        <f>Model!E54</f>
        <v>0.13018380051941864</v>
      </c>
    </row>
    <row r="110" spans="1:9" x14ac:dyDescent="0.3">
      <c r="A110" s="17"/>
      <c r="B110" s="17"/>
      <c r="C110" s="17"/>
      <c r="D110" s="17"/>
      <c r="E110" s="17"/>
      <c r="F110" s="17"/>
      <c r="G110" s="17"/>
      <c r="H110" s="17"/>
    </row>
    <row r="111" spans="1:9" x14ac:dyDescent="0.3">
      <c r="A111" s="29" t="s">
        <v>111</v>
      </c>
      <c r="B111" s="16" t="s">
        <v>46</v>
      </c>
      <c r="C111" s="25">
        <v>6.3E-2</v>
      </c>
      <c r="D111" s="25">
        <v>6.3E-2</v>
      </c>
      <c r="E111" s="25">
        <v>6.3E-2</v>
      </c>
      <c r="F111" s="25">
        <v>6.3E-2</v>
      </c>
      <c r="G111" s="25">
        <v>6.3E-2</v>
      </c>
      <c r="H111" s="17"/>
      <c r="I111" s="19" t="s">
        <v>112</v>
      </c>
    </row>
    <row r="112" spans="1:9" x14ac:dyDescent="0.3">
      <c r="A112" s="17"/>
      <c r="B112" s="16" t="s">
        <v>47</v>
      </c>
      <c r="C112" s="25">
        <v>6.3E-2</v>
      </c>
      <c r="D112" s="25">
        <v>6.3E-2</v>
      </c>
      <c r="E112" s="25">
        <v>6.3E-2</v>
      </c>
      <c r="F112" s="25">
        <v>6.3E-2</v>
      </c>
      <c r="G112" s="25">
        <v>6.3E-2</v>
      </c>
      <c r="H112" s="17"/>
    </row>
    <row r="113" spans="1:9" x14ac:dyDescent="0.3">
      <c r="A113" s="17"/>
      <c r="B113" s="16" t="s">
        <v>48</v>
      </c>
      <c r="C113" s="25">
        <v>6.3E-2</v>
      </c>
      <c r="D113" s="25">
        <v>6.3E-2</v>
      </c>
      <c r="E113" s="25">
        <v>6.3E-2</v>
      </c>
      <c r="F113" s="25">
        <v>6.3E-2</v>
      </c>
      <c r="G113" s="25">
        <v>6.3E-2</v>
      </c>
      <c r="H113" s="17"/>
    </row>
    <row r="114" spans="1:9" x14ac:dyDescent="0.3">
      <c r="A114" s="17"/>
      <c r="B114" s="29" t="s">
        <v>49</v>
      </c>
      <c r="C114" s="39">
        <f>CHOOSE($C$18,C111,C112,C113)</f>
        <v>6.3E-2</v>
      </c>
      <c r="D114" s="39">
        <f>CHOOSE($C$18,D111,D112,D113)</f>
        <v>6.3E-2</v>
      </c>
      <c r="E114" s="39">
        <f>CHOOSE($C$18,E111,E112,E113)</f>
        <v>6.3E-2</v>
      </c>
      <c r="F114" s="39">
        <f>CHOOSE($C$18,F111,F112,F113)</f>
        <v>6.3E-2</v>
      </c>
      <c r="G114" s="39">
        <f>CHOOSE($C$18,G111,G112,G113)</f>
        <v>6.3E-2</v>
      </c>
      <c r="H114" s="23">
        <f>Model!E55</f>
        <v>6.4065096034912603E-2</v>
      </c>
    </row>
    <row r="115" spans="1:9" x14ac:dyDescent="0.3">
      <c r="A115" s="17"/>
      <c r="B115" s="17"/>
      <c r="C115" s="17"/>
      <c r="D115" s="17"/>
      <c r="E115" s="17"/>
      <c r="F115" s="17"/>
      <c r="G115" s="17"/>
      <c r="H115" s="17"/>
    </row>
    <row r="116" spans="1:9" x14ac:dyDescent="0.3">
      <c r="A116" s="29" t="s">
        <v>113</v>
      </c>
      <c r="B116" s="16" t="s">
        <v>46</v>
      </c>
      <c r="C116" s="25">
        <v>0.03</v>
      </c>
      <c r="D116" s="25">
        <v>0.03</v>
      </c>
      <c r="E116" s="25">
        <v>0.03</v>
      </c>
      <c r="F116" s="25">
        <v>0.03</v>
      </c>
      <c r="G116" s="25">
        <v>0.03</v>
      </c>
      <c r="H116" s="17"/>
      <c r="I116" s="19" t="s">
        <v>114</v>
      </c>
    </row>
    <row r="117" spans="1:9" x14ac:dyDescent="0.3">
      <c r="A117" s="17"/>
      <c r="B117" s="16" t="s">
        <v>47</v>
      </c>
      <c r="C117" s="25">
        <v>0.03</v>
      </c>
      <c r="D117" s="25">
        <v>0.03</v>
      </c>
      <c r="E117" s="25">
        <v>0.03</v>
      </c>
      <c r="F117" s="25">
        <v>0.03</v>
      </c>
      <c r="G117" s="25">
        <v>0.03</v>
      </c>
      <c r="H117" s="17"/>
    </row>
    <row r="118" spans="1:9" x14ac:dyDescent="0.3">
      <c r="A118" s="17"/>
      <c r="B118" s="16" t="s">
        <v>48</v>
      </c>
      <c r="C118" s="25">
        <v>0.03</v>
      </c>
      <c r="D118" s="25">
        <v>0.03</v>
      </c>
      <c r="E118" s="25">
        <v>0.03</v>
      </c>
      <c r="F118" s="25">
        <v>0.03</v>
      </c>
      <c r="G118" s="25">
        <v>0.03</v>
      </c>
      <c r="H118" s="17"/>
    </row>
    <row r="119" spans="1:9" x14ac:dyDescent="0.3">
      <c r="A119" s="17"/>
      <c r="B119" s="29" t="s">
        <v>49</v>
      </c>
      <c r="C119" s="39">
        <f>CHOOSE($C$18,C116,C117,C118)</f>
        <v>0.03</v>
      </c>
      <c r="D119" s="39">
        <f>CHOOSE($C$18,D116,D117,D118)</f>
        <v>0.03</v>
      </c>
      <c r="E119" s="39">
        <f>CHOOSE($C$18,E116,E117,E118)</f>
        <v>0.03</v>
      </c>
      <c r="F119" s="39">
        <f>CHOOSE($C$18,F116,F117,F118)</f>
        <v>0.03</v>
      </c>
      <c r="G119" s="39">
        <f>CHOOSE($C$18,G116,G117,G118)</f>
        <v>0.03</v>
      </c>
      <c r="H119" s="23">
        <f>Model!E56</f>
        <v>2.9369498638854047E-2</v>
      </c>
    </row>
    <row r="120" spans="1:9" x14ac:dyDescent="0.3">
      <c r="A120" s="17"/>
      <c r="B120" s="17"/>
      <c r="C120" s="17"/>
      <c r="D120" s="17"/>
      <c r="E120" s="17"/>
      <c r="F120" s="17"/>
      <c r="G120" s="17"/>
      <c r="H120" s="17"/>
    </row>
    <row r="121" spans="1:9" x14ac:dyDescent="0.3">
      <c r="A121" s="29" t="s">
        <v>115</v>
      </c>
      <c r="B121" s="16" t="s">
        <v>46</v>
      </c>
      <c r="C121" s="25">
        <v>6.0999999999999999E-2</v>
      </c>
      <c r="D121" s="25">
        <v>6.0499999999999998E-2</v>
      </c>
      <c r="E121" s="25">
        <v>6.0499999999999998E-2</v>
      </c>
      <c r="F121" s="25">
        <v>6.0499999999999998E-2</v>
      </c>
      <c r="G121" s="25">
        <v>6.0499999999999998E-2</v>
      </c>
      <c r="H121" s="17"/>
      <c r="I121" s="19" t="s">
        <v>116</v>
      </c>
    </row>
    <row r="122" spans="1:9" x14ac:dyDescent="0.3">
      <c r="A122" s="17"/>
      <c r="B122" s="16" t="s">
        <v>47</v>
      </c>
      <c r="C122" s="25">
        <v>5.9499999999999997E-2</v>
      </c>
      <c r="D122" s="25">
        <v>5.8999999999999997E-2</v>
      </c>
      <c r="E122" s="25">
        <v>5.8999999999999997E-2</v>
      </c>
      <c r="F122" s="25">
        <v>5.8999999999999997E-2</v>
      </c>
      <c r="G122" s="25">
        <v>5.8999999999999997E-2</v>
      </c>
      <c r="H122" s="17"/>
    </row>
    <row r="123" spans="1:9" x14ac:dyDescent="0.3">
      <c r="A123" s="17"/>
      <c r="B123" s="16" t="s">
        <v>48</v>
      </c>
      <c r="C123" s="25">
        <v>6.5000000000000002E-2</v>
      </c>
      <c r="D123" s="25">
        <v>6.4000000000000001E-2</v>
      </c>
      <c r="E123" s="25">
        <v>6.25E-2</v>
      </c>
      <c r="F123" s="25">
        <v>6.1499999999999999E-2</v>
      </c>
      <c r="G123" s="25">
        <v>6.1499999999999999E-2</v>
      </c>
      <c r="H123" s="17"/>
    </row>
    <row r="124" spans="1:9" x14ac:dyDescent="0.3">
      <c r="A124" s="17"/>
      <c r="B124" s="29" t="s">
        <v>49</v>
      </c>
      <c r="C124" s="39">
        <f>CHOOSE($C$18,C121,C122,C123)</f>
        <v>6.0999999999999999E-2</v>
      </c>
      <c r="D124" s="39">
        <f>CHOOSE($C$18,D121,D122,D123)</f>
        <v>6.0499999999999998E-2</v>
      </c>
      <c r="E124" s="39">
        <f>CHOOSE($C$18,E121,E122,E123)</f>
        <v>6.0499999999999998E-2</v>
      </c>
      <c r="F124" s="39">
        <f>CHOOSE($C$18,F121,F122,F123)</f>
        <v>6.0499999999999998E-2</v>
      </c>
      <c r="G124" s="39">
        <f>CHOOSE($C$18,G121,G122,G123)</f>
        <v>6.0499999999999998E-2</v>
      </c>
      <c r="H124" s="23">
        <f>Model!E58</f>
        <v>6.2974408855195452E-2</v>
      </c>
    </row>
    <row r="125" spans="1:9" x14ac:dyDescent="0.3">
      <c r="A125" s="17"/>
      <c r="B125" s="17"/>
      <c r="C125" s="17"/>
      <c r="D125" s="17"/>
      <c r="E125" s="17"/>
      <c r="F125" s="17"/>
      <c r="G125" s="17"/>
      <c r="H125" s="17"/>
    </row>
    <row r="126" spans="1:9" x14ac:dyDescent="0.3">
      <c r="A126" s="29" t="s">
        <v>117</v>
      </c>
      <c r="B126" s="16" t="s">
        <v>46</v>
      </c>
      <c r="C126" s="25">
        <v>1.7999999999999999E-2</v>
      </c>
      <c r="D126" s="25">
        <v>1.7999999999999999E-2</v>
      </c>
      <c r="E126" s="25">
        <v>1.7999999999999999E-2</v>
      </c>
      <c r="F126" s="25">
        <v>1.7999999999999999E-2</v>
      </c>
      <c r="G126" s="25">
        <v>1.7999999999999999E-2</v>
      </c>
      <c r="H126" s="17"/>
      <c r="I126" s="19" t="s">
        <v>118</v>
      </c>
    </row>
    <row r="127" spans="1:9" x14ac:dyDescent="0.3">
      <c r="A127" s="17"/>
      <c r="B127" s="16" t="s">
        <v>47</v>
      </c>
      <c r="C127" s="25">
        <v>1.9E-2</v>
      </c>
      <c r="D127" s="25">
        <v>1.9E-2</v>
      </c>
      <c r="E127" s="25">
        <v>1.9E-2</v>
      </c>
      <c r="F127" s="25">
        <v>1.9E-2</v>
      </c>
      <c r="G127" s="25">
        <v>1.9E-2</v>
      </c>
      <c r="H127" s="17"/>
    </row>
    <row r="128" spans="1:9" x14ac:dyDescent="0.3">
      <c r="A128" s="17"/>
      <c r="B128" s="16" t="s">
        <v>48</v>
      </c>
      <c r="C128" s="25">
        <v>1.6500000000000001E-2</v>
      </c>
      <c r="D128" s="25">
        <v>1.6500000000000001E-2</v>
      </c>
      <c r="E128" s="25">
        <v>1.7000000000000001E-2</v>
      </c>
      <c r="F128" s="25">
        <v>1.7000000000000001E-2</v>
      </c>
      <c r="G128" s="25">
        <v>1.7000000000000001E-2</v>
      </c>
      <c r="H128" s="17"/>
    </row>
    <row r="129" spans="1:9" x14ac:dyDescent="0.3">
      <c r="A129" s="17"/>
      <c r="B129" s="29" t="s">
        <v>49</v>
      </c>
      <c r="C129" s="39">
        <f>CHOOSE($C$18,C126,C127,C128)</f>
        <v>1.7999999999999999E-2</v>
      </c>
      <c r="D129" s="39">
        <f>CHOOSE($C$18,D126,D127,D128)</f>
        <v>1.7999999999999999E-2</v>
      </c>
      <c r="E129" s="39">
        <f>CHOOSE($C$18,E126,E127,E128)</f>
        <v>1.7999999999999999E-2</v>
      </c>
      <c r="F129" s="39">
        <f>CHOOSE($C$18,F126,F127,F128)</f>
        <v>1.7999999999999999E-2</v>
      </c>
      <c r="G129" s="39">
        <f>CHOOSE($C$18,G126,G127,G128)</f>
        <v>1.7999999999999999E-2</v>
      </c>
      <c r="H129" s="23">
        <f>Model!E60</f>
        <v>1.7958139033227977E-2</v>
      </c>
    </row>
    <row r="130" spans="1:9" x14ac:dyDescent="0.3">
      <c r="A130" s="17"/>
      <c r="B130" s="17"/>
      <c r="C130" s="17"/>
      <c r="D130" s="17"/>
      <c r="E130" s="17"/>
      <c r="F130" s="17"/>
      <c r="G130" s="17"/>
      <c r="H130" s="17"/>
    </row>
    <row r="131" spans="1:9" x14ac:dyDescent="0.3">
      <c r="A131" s="29" t="s">
        <v>119</v>
      </c>
      <c r="B131" s="16" t="s">
        <v>46</v>
      </c>
      <c r="C131" s="25">
        <v>4.1500000000000002E-2</v>
      </c>
      <c r="D131" s="25">
        <v>4.0500000000000001E-2</v>
      </c>
      <c r="E131" s="25">
        <v>3.95E-2</v>
      </c>
      <c r="F131" s="25">
        <v>3.8800000000000001E-2</v>
      </c>
      <c r="G131" s="25">
        <v>3.8199999999999998E-2</v>
      </c>
      <c r="H131" s="17"/>
      <c r="I131" s="19" t="s">
        <v>120</v>
      </c>
    </row>
    <row r="132" spans="1:9" x14ac:dyDescent="0.3">
      <c r="A132" s="17"/>
      <c r="B132" s="16" t="s">
        <v>47</v>
      </c>
      <c r="C132" s="25">
        <v>4.1000000000000002E-2</v>
      </c>
      <c r="D132" s="25">
        <v>0.04</v>
      </c>
      <c r="E132" s="25">
        <v>3.9E-2</v>
      </c>
      <c r="F132" s="25">
        <v>3.7999999999999999E-2</v>
      </c>
      <c r="G132" s="25">
        <v>3.7499999999999999E-2</v>
      </c>
      <c r="H132" s="17"/>
    </row>
    <row r="133" spans="1:9" x14ac:dyDescent="0.3">
      <c r="A133" s="17"/>
      <c r="B133" s="16" t="s">
        <v>48</v>
      </c>
      <c r="C133" s="25">
        <v>4.2799999999999998E-2</v>
      </c>
      <c r="D133" s="25">
        <v>4.2000000000000003E-2</v>
      </c>
      <c r="E133" s="25">
        <v>4.1000000000000002E-2</v>
      </c>
      <c r="F133" s="25">
        <v>4.02E-2</v>
      </c>
      <c r="G133" s="25">
        <v>3.9600000000000003E-2</v>
      </c>
      <c r="H133" s="17"/>
    </row>
    <row r="134" spans="1:9" x14ac:dyDescent="0.3">
      <c r="A134" s="17"/>
      <c r="B134" s="29" t="s">
        <v>49</v>
      </c>
      <c r="C134" s="39">
        <f>CHOOSE($C$18,C131,C132,C133)</f>
        <v>4.1500000000000002E-2</v>
      </c>
      <c r="D134" s="39">
        <f>CHOOSE($C$18,D131,D132,D133)</f>
        <v>4.0500000000000001E-2</v>
      </c>
      <c r="E134" s="39">
        <f>CHOOSE($C$18,E131,E132,E133)</f>
        <v>3.95E-2</v>
      </c>
      <c r="F134" s="39">
        <f>CHOOSE($C$18,F131,F132,F133)</f>
        <v>3.8800000000000001E-2</v>
      </c>
      <c r="G134" s="39">
        <f>CHOOSE($C$18,G131,G132,G133)</f>
        <v>3.8199999999999998E-2</v>
      </c>
      <c r="H134" s="23">
        <f>Model!E61</f>
        <v>4.2223974096848804E-2</v>
      </c>
    </row>
    <row r="135" spans="1:9" x14ac:dyDescent="0.3">
      <c r="A135" s="17"/>
      <c r="B135" s="17"/>
      <c r="C135" s="17"/>
      <c r="D135" s="17"/>
      <c r="E135" s="17"/>
      <c r="F135" s="17"/>
      <c r="G135" s="17"/>
      <c r="H135" s="17"/>
    </row>
    <row r="136" spans="1:9" ht="20.399999999999999" x14ac:dyDescent="0.3">
      <c r="A136" s="29" t="s">
        <v>121</v>
      </c>
      <c r="B136" s="16" t="s">
        <v>46</v>
      </c>
      <c r="C136" s="25">
        <v>1.2E-2</v>
      </c>
      <c r="D136" s="25">
        <v>1.2E-2</v>
      </c>
      <c r="E136" s="25">
        <v>1.2E-2</v>
      </c>
      <c r="F136" s="25">
        <v>1.2E-2</v>
      </c>
      <c r="G136" s="25">
        <v>1.2E-2</v>
      </c>
      <c r="H136" s="17"/>
      <c r="I136" s="19" t="s">
        <v>122</v>
      </c>
    </row>
    <row r="137" spans="1:9" x14ac:dyDescent="0.3">
      <c r="A137" s="17"/>
      <c r="B137" s="16" t="s">
        <v>47</v>
      </c>
      <c r="C137" s="25">
        <v>1.0999999999999999E-2</v>
      </c>
      <c r="D137" s="25">
        <v>1.0999999999999999E-2</v>
      </c>
      <c r="E137" s="25">
        <v>1.0999999999999999E-2</v>
      </c>
      <c r="F137" s="25">
        <v>1.0999999999999999E-2</v>
      </c>
      <c r="G137" s="25">
        <v>1.0999999999999999E-2</v>
      </c>
      <c r="H137" s="17"/>
    </row>
    <row r="138" spans="1:9" x14ac:dyDescent="0.3">
      <c r="A138" s="17"/>
      <c r="B138" s="16" t="s">
        <v>48</v>
      </c>
      <c r="C138" s="25">
        <v>2.1999999999999999E-2</v>
      </c>
      <c r="D138" s="25">
        <v>1.7999999999999999E-2</v>
      </c>
      <c r="E138" s="25">
        <v>1.4E-2</v>
      </c>
      <c r="F138" s="25">
        <v>1.2999999999999999E-2</v>
      </c>
      <c r="G138" s="25">
        <v>1.2500000000000001E-2</v>
      </c>
      <c r="H138" s="17"/>
    </row>
    <row r="139" spans="1:9" x14ac:dyDescent="0.3">
      <c r="A139" s="17"/>
      <c r="B139" s="29" t="s">
        <v>49</v>
      </c>
      <c r="C139" s="39">
        <f>CHOOSE($C$18,C136,C137,C138)</f>
        <v>1.2E-2</v>
      </c>
      <c r="D139" s="39">
        <f t="shared" ref="D139:G139" si="5">CHOOSE($C$18,D136,D137,D138)</f>
        <v>1.2E-2</v>
      </c>
      <c r="E139" s="39">
        <f t="shared" si="5"/>
        <v>1.2E-2</v>
      </c>
      <c r="F139" s="39">
        <f t="shared" si="5"/>
        <v>1.2E-2</v>
      </c>
      <c r="G139" s="39">
        <f t="shared" si="5"/>
        <v>1.2E-2</v>
      </c>
      <c r="H139" s="23">
        <f>Model!E63</f>
        <v>1.2613428061445685E-2</v>
      </c>
    </row>
    <row r="140" spans="1:9" x14ac:dyDescent="0.3">
      <c r="A140" s="17"/>
      <c r="B140" s="17"/>
      <c r="C140" s="17"/>
      <c r="D140" s="17"/>
      <c r="E140" s="17"/>
      <c r="F140" s="17"/>
      <c r="G140" s="17"/>
      <c r="H140" s="17"/>
    </row>
    <row r="141" spans="1:9" x14ac:dyDescent="0.3">
      <c r="A141" s="29" t="s">
        <v>123</v>
      </c>
      <c r="B141" s="16" t="s">
        <v>46</v>
      </c>
      <c r="C141" s="30">
        <v>0.24</v>
      </c>
      <c r="D141" s="30">
        <v>0.24</v>
      </c>
      <c r="E141" s="30">
        <v>0.24</v>
      </c>
      <c r="F141" s="30">
        <v>0.24</v>
      </c>
      <c r="G141" s="30">
        <v>0.24</v>
      </c>
      <c r="H141" s="17"/>
      <c r="I141" s="19" t="s">
        <v>124</v>
      </c>
    </row>
    <row r="142" spans="1:9" x14ac:dyDescent="0.3">
      <c r="A142" s="17"/>
      <c r="B142" s="16" t="s">
        <v>47</v>
      </c>
      <c r="C142" s="30">
        <v>0.24</v>
      </c>
      <c r="D142" s="30">
        <v>0.24</v>
      </c>
      <c r="E142" s="30">
        <v>0.24</v>
      </c>
      <c r="F142" s="30">
        <v>0.24</v>
      </c>
      <c r="G142" s="30">
        <v>0.24</v>
      </c>
      <c r="H142" s="17"/>
    </row>
    <row r="143" spans="1:9" x14ac:dyDescent="0.3">
      <c r="A143" s="17"/>
      <c r="B143" s="16" t="s">
        <v>48</v>
      </c>
      <c r="C143" s="30">
        <v>0.24</v>
      </c>
      <c r="D143" s="30">
        <v>0.24</v>
      </c>
      <c r="E143" s="30">
        <v>0.24</v>
      </c>
      <c r="F143" s="30">
        <v>0.24</v>
      </c>
      <c r="G143" s="30">
        <v>0.24</v>
      </c>
      <c r="H143" s="17"/>
    </row>
    <row r="144" spans="1:9" x14ac:dyDescent="0.3">
      <c r="A144" s="17"/>
      <c r="B144" s="29" t="s">
        <v>49</v>
      </c>
      <c r="C144" s="31">
        <f>CHOOSE($C$18,C141,C142,C143)</f>
        <v>0.24</v>
      </c>
      <c r="D144" s="31">
        <f>CHOOSE($C$18,D141,D142,D143)</f>
        <v>0.24</v>
      </c>
      <c r="E144" s="31">
        <f>CHOOSE($C$18,E141,E142,E143)</f>
        <v>0.24</v>
      </c>
      <c r="F144" s="31">
        <f>CHOOSE($C$18,F141,F142,F143)</f>
        <v>0.24</v>
      </c>
      <c r="G144" s="31">
        <f>CHOOSE($C$18,G141,G142,G143)</f>
        <v>0.24</v>
      </c>
      <c r="H144" s="35">
        <f>Model!E67</f>
        <v>0.23971801060987799</v>
      </c>
    </row>
    <row r="145" spans="1:9" x14ac:dyDescent="0.3">
      <c r="A145" s="17"/>
      <c r="B145" s="17"/>
      <c r="C145" s="17"/>
      <c r="D145" s="17"/>
      <c r="E145" s="17"/>
      <c r="F145" s="17"/>
      <c r="G145" s="17"/>
      <c r="H145" s="17"/>
    </row>
    <row r="146" spans="1:9" x14ac:dyDescent="0.3">
      <c r="A146" s="29" t="s">
        <v>125</v>
      </c>
      <c r="B146" s="16" t="s">
        <v>46</v>
      </c>
      <c r="C146" s="21">
        <v>1</v>
      </c>
      <c r="D146" s="21">
        <v>1</v>
      </c>
      <c r="E146" s="21">
        <v>1.5</v>
      </c>
      <c r="F146" s="21">
        <v>1.5</v>
      </c>
      <c r="G146" s="21">
        <v>2</v>
      </c>
      <c r="H146" s="17"/>
      <c r="I146" s="19" t="s">
        <v>126</v>
      </c>
    </row>
    <row r="147" spans="1:9" x14ac:dyDescent="0.3">
      <c r="A147" s="17"/>
      <c r="B147" s="16" t="s">
        <v>47</v>
      </c>
      <c r="C147" s="21">
        <v>1</v>
      </c>
      <c r="D147" s="21">
        <v>1.5</v>
      </c>
      <c r="E147" s="21">
        <v>2</v>
      </c>
      <c r="F147" s="21">
        <v>2.5</v>
      </c>
      <c r="G147" s="21">
        <v>3</v>
      </c>
      <c r="H147" s="17"/>
    </row>
    <row r="148" spans="1:9" x14ac:dyDescent="0.3">
      <c r="A148" s="17"/>
      <c r="B148" s="16" t="s">
        <v>48</v>
      </c>
      <c r="C148" s="21">
        <v>1</v>
      </c>
      <c r="D148" s="21">
        <v>1</v>
      </c>
      <c r="E148" s="21">
        <v>1</v>
      </c>
      <c r="F148" s="21">
        <v>1</v>
      </c>
      <c r="G148" s="21">
        <v>1</v>
      </c>
      <c r="H148" s="17"/>
    </row>
    <row r="149" spans="1:9" x14ac:dyDescent="0.3">
      <c r="A149" s="17"/>
      <c r="B149" s="29" t="s">
        <v>49</v>
      </c>
      <c r="C149" s="40">
        <f>CHOOSE($C$18,C146,C147,C148)</f>
        <v>1</v>
      </c>
      <c r="D149" s="40">
        <f>CHOOSE($C$18,D146,D147,D148)</f>
        <v>1</v>
      </c>
      <c r="E149" s="40">
        <f>CHOOSE($C$18,E146,E147,E148)</f>
        <v>1.5</v>
      </c>
      <c r="F149" s="40">
        <f>CHOOSE($C$18,F146,F147,F148)</f>
        <v>1.5</v>
      </c>
      <c r="G149" s="40">
        <f>CHOOSE($C$18,G146,G147,G148)</f>
        <v>2</v>
      </c>
      <c r="H149" s="41">
        <f>Model!E75</f>
        <v>1</v>
      </c>
    </row>
    <row r="150" spans="1:9" x14ac:dyDescent="0.3">
      <c r="A150" s="17"/>
      <c r="B150" s="17"/>
      <c r="C150" s="17"/>
      <c r="D150" s="17"/>
      <c r="E150" s="17"/>
      <c r="F150" s="17"/>
      <c r="G150" s="17"/>
      <c r="H150" s="17"/>
    </row>
    <row r="151" spans="1:9" x14ac:dyDescent="0.3">
      <c r="A151" s="29" t="s">
        <v>127</v>
      </c>
      <c r="B151" s="16" t="s">
        <v>46</v>
      </c>
      <c r="C151" s="42">
        <v>250</v>
      </c>
      <c r="D151" s="42">
        <v>250</v>
      </c>
      <c r="E151" s="42">
        <v>250</v>
      </c>
      <c r="F151" s="42">
        <v>250</v>
      </c>
      <c r="G151" s="42">
        <v>250</v>
      </c>
      <c r="H151" s="17"/>
      <c r="I151" s="19" t="s">
        <v>128</v>
      </c>
    </row>
    <row r="152" spans="1:9" x14ac:dyDescent="0.3">
      <c r="A152" s="17"/>
      <c r="B152" s="16" t="s">
        <v>47</v>
      </c>
      <c r="C152" s="42">
        <v>250</v>
      </c>
      <c r="D152" s="42">
        <v>250</v>
      </c>
      <c r="E152" s="42">
        <v>250</v>
      </c>
      <c r="F152" s="42">
        <v>250</v>
      </c>
      <c r="G152" s="42">
        <v>250</v>
      </c>
      <c r="H152" s="17"/>
    </row>
    <row r="153" spans="1:9" x14ac:dyDescent="0.3">
      <c r="A153" s="17"/>
      <c r="B153" s="16" t="s">
        <v>48</v>
      </c>
      <c r="C153" s="42">
        <v>200</v>
      </c>
      <c r="D153" s="42">
        <v>200</v>
      </c>
      <c r="E153" s="42">
        <v>200</v>
      </c>
      <c r="F153" s="42">
        <v>200</v>
      </c>
      <c r="G153" s="42">
        <v>200</v>
      </c>
      <c r="H153" s="17"/>
    </row>
    <row r="154" spans="1:9" x14ac:dyDescent="0.3">
      <c r="A154" s="17"/>
      <c r="B154" s="29" t="s">
        <v>49</v>
      </c>
      <c r="C154" s="43">
        <f>CHOOSE($C$18,C151,C152,C153)</f>
        <v>250</v>
      </c>
      <c r="D154" s="43">
        <f>CHOOSE($C$18,D151,D152,D153)</f>
        <v>250</v>
      </c>
      <c r="E154" s="43">
        <f>CHOOSE($C$18,E151,E152,E153)</f>
        <v>250</v>
      </c>
      <c r="F154" s="43">
        <f>CHOOSE($C$18,F151,F152,F153)</f>
        <v>250</v>
      </c>
      <c r="G154" s="43">
        <f>CHOOSE($C$18,G151,G152,G153)</f>
        <v>250</v>
      </c>
      <c r="H154" s="17"/>
    </row>
    <row r="155" spans="1:9" x14ac:dyDescent="0.3">
      <c r="A155" s="17"/>
      <c r="B155" s="17"/>
      <c r="C155" s="17"/>
      <c r="D155" s="17"/>
      <c r="E155" s="17"/>
      <c r="F155" s="17"/>
      <c r="G155" s="17"/>
      <c r="H155" s="17"/>
    </row>
    <row r="156" spans="1:9" x14ac:dyDescent="0.3">
      <c r="A156" s="29" t="s">
        <v>129</v>
      </c>
      <c r="B156" s="16" t="s">
        <v>46</v>
      </c>
      <c r="C156" s="44">
        <v>0.4</v>
      </c>
      <c r="D156" s="44">
        <v>0.4</v>
      </c>
      <c r="E156" s="44">
        <v>0.4</v>
      </c>
      <c r="F156" s="44">
        <v>0.4</v>
      </c>
      <c r="G156" s="44">
        <v>0.4</v>
      </c>
      <c r="H156" s="17"/>
      <c r="I156" s="19" t="s">
        <v>130</v>
      </c>
    </row>
    <row r="157" spans="1:9" x14ac:dyDescent="0.3">
      <c r="A157" s="17"/>
      <c r="B157" s="16" t="s">
        <v>47</v>
      </c>
      <c r="C157" s="44">
        <v>0.4</v>
      </c>
      <c r="D157" s="44">
        <v>0.4</v>
      </c>
      <c r="E157" s="44">
        <v>0.4</v>
      </c>
      <c r="F157" s="44">
        <v>0.4</v>
      </c>
      <c r="G157" s="44">
        <v>0.4</v>
      </c>
      <c r="H157" s="17"/>
    </row>
    <row r="158" spans="1:9" x14ac:dyDescent="0.3">
      <c r="A158" s="17"/>
      <c r="B158" s="16" t="s">
        <v>48</v>
      </c>
      <c r="C158" s="44">
        <v>0.35</v>
      </c>
      <c r="D158" s="44">
        <v>0.35</v>
      </c>
      <c r="E158" s="44">
        <v>0.35</v>
      </c>
      <c r="F158" s="44">
        <v>0.35</v>
      </c>
      <c r="G158" s="44">
        <v>0.35</v>
      </c>
      <c r="H158" s="17"/>
    </row>
    <row r="159" spans="1:9" x14ac:dyDescent="0.3">
      <c r="A159" s="17"/>
      <c r="B159" s="29" t="s">
        <v>49</v>
      </c>
      <c r="C159" s="45">
        <f>CHOOSE($C$18,C156,C157,C158)</f>
        <v>0.4</v>
      </c>
      <c r="D159" s="45">
        <f>CHOOSE($C$18,D156,D157,D158)</f>
        <v>0.4</v>
      </c>
      <c r="E159" s="45">
        <f>CHOOSE($C$18,E156,E157,E158)</f>
        <v>0.4</v>
      </c>
      <c r="F159" s="45">
        <f>CHOOSE($C$18,F156,F157,F158)</f>
        <v>0.4</v>
      </c>
      <c r="G159" s="45">
        <f>CHOOSE($C$18,G156,G157,G158)</f>
        <v>0.4</v>
      </c>
      <c r="H159" s="17"/>
    </row>
    <row r="160" spans="1:9" x14ac:dyDescent="0.3">
      <c r="A160" s="17"/>
      <c r="B160" s="17"/>
      <c r="C160" s="17"/>
      <c r="D160" s="17"/>
      <c r="E160" s="17"/>
      <c r="F160" s="17"/>
      <c r="G160" s="17"/>
      <c r="H160" s="17"/>
    </row>
    <row r="161" spans="1:9" x14ac:dyDescent="0.3">
      <c r="A161" s="29" t="s">
        <v>131</v>
      </c>
      <c r="B161" s="16" t="s">
        <v>46</v>
      </c>
      <c r="C161" s="42">
        <v>0</v>
      </c>
      <c r="D161" s="42">
        <v>0</v>
      </c>
      <c r="E161" s="42">
        <v>0</v>
      </c>
      <c r="F161" s="42">
        <v>0</v>
      </c>
      <c r="G161" s="42">
        <v>0</v>
      </c>
      <c r="H161" s="17"/>
      <c r="I161" s="19" t="s">
        <v>132</v>
      </c>
    </row>
    <row r="162" spans="1:9" x14ac:dyDescent="0.3">
      <c r="A162" s="17"/>
      <c r="B162" s="16" t="s">
        <v>47</v>
      </c>
      <c r="C162" s="42">
        <v>0</v>
      </c>
      <c r="D162" s="42">
        <v>0</v>
      </c>
      <c r="E162" s="42">
        <v>0</v>
      </c>
      <c r="F162" s="42">
        <v>0</v>
      </c>
      <c r="G162" s="42">
        <v>0</v>
      </c>
      <c r="H162" s="17"/>
    </row>
    <row r="163" spans="1:9" x14ac:dyDescent="0.3">
      <c r="A163" s="17"/>
      <c r="B163" s="16" t="s">
        <v>48</v>
      </c>
      <c r="C163" s="42">
        <v>0</v>
      </c>
      <c r="D163" s="42">
        <v>0</v>
      </c>
      <c r="E163" s="42">
        <v>0</v>
      </c>
      <c r="F163" s="42">
        <v>0</v>
      </c>
      <c r="G163" s="42">
        <v>0</v>
      </c>
      <c r="H163" s="17"/>
    </row>
    <row r="164" spans="1:9" x14ac:dyDescent="0.3">
      <c r="A164" s="17"/>
      <c r="B164" s="29" t="s">
        <v>49</v>
      </c>
      <c r="C164" s="43">
        <f>CHOOSE($C$18,C161,C162,C163)</f>
        <v>0</v>
      </c>
      <c r="D164" s="43">
        <f>CHOOSE($C$18,D161,D162,D163)</f>
        <v>0</v>
      </c>
      <c r="E164" s="43">
        <f>CHOOSE($C$18,E161,E162,E163)</f>
        <v>0</v>
      </c>
      <c r="F164" s="43">
        <f>CHOOSE($C$18,F161,F162,F163)</f>
        <v>0</v>
      </c>
      <c r="G164" s="43">
        <f>CHOOSE($C$18,G161,G162,G163)</f>
        <v>0</v>
      </c>
      <c r="H164" s="17"/>
    </row>
    <row r="165" spans="1:9" x14ac:dyDescent="0.3">
      <c r="A165" s="17"/>
      <c r="B165" s="17"/>
      <c r="C165" s="17"/>
      <c r="D165" s="17"/>
      <c r="E165" s="17"/>
      <c r="F165" s="17"/>
      <c r="G165" s="17"/>
      <c r="H165" s="17"/>
    </row>
    <row r="166" spans="1:9" x14ac:dyDescent="0.3">
      <c r="A166" s="29" t="s">
        <v>133</v>
      </c>
      <c r="B166" s="16" t="s">
        <v>46</v>
      </c>
      <c r="C166" s="46">
        <v>3</v>
      </c>
      <c r="D166" s="46">
        <v>3</v>
      </c>
      <c r="E166" s="46">
        <v>3</v>
      </c>
      <c r="F166" s="46">
        <v>3</v>
      </c>
      <c r="G166" s="46">
        <v>3</v>
      </c>
      <c r="H166" s="17"/>
      <c r="I166" s="19" t="s">
        <v>134</v>
      </c>
    </row>
    <row r="167" spans="1:9" x14ac:dyDescent="0.3">
      <c r="A167" s="17"/>
      <c r="B167" s="16" t="s">
        <v>47</v>
      </c>
      <c r="C167" s="46">
        <v>3</v>
      </c>
      <c r="D167" s="46">
        <v>3</v>
      </c>
      <c r="E167" s="46">
        <v>3</v>
      </c>
      <c r="F167" s="46">
        <v>3</v>
      </c>
      <c r="G167" s="46">
        <v>3</v>
      </c>
      <c r="H167" s="17"/>
    </row>
    <row r="168" spans="1:9" x14ac:dyDescent="0.3">
      <c r="A168" s="17"/>
      <c r="B168" s="16" t="s">
        <v>48</v>
      </c>
      <c r="C168" s="46">
        <v>2</v>
      </c>
      <c r="D168" s="46">
        <v>2</v>
      </c>
      <c r="E168" s="46">
        <v>2</v>
      </c>
      <c r="F168" s="46">
        <v>2</v>
      </c>
      <c r="G168" s="46">
        <v>2</v>
      </c>
      <c r="H168" s="17"/>
    </row>
    <row r="169" spans="1:9" x14ac:dyDescent="0.3">
      <c r="A169" s="17"/>
      <c r="B169" s="29" t="s">
        <v>49</v>
      </c>
      <c r="C169" s="47">
        <f>CHOOSE($C$18,C166,C167,C168)</f>
        <v>3</v>
      </c>
      <c r="D169" s="47">
        <f>CHOOSE($C$18,D166,D167,D168)</f>
        <v>3</v>
      </c>
      <c r="E169" s="47">
        <f>CHOOSE($C$18,E166,E167,E168)</f>
        <v>3</v>
      </c>
      <c r="F169" s="47">
        <f>CHOOSE($C$18,F166,F167,F168)</f>
        <v>3</v>
      </c>
      <c r="G169" s="47">
        <f>CHOOSE($C$18,G166,G167,G168)</f>
        <v>3</v>
      </c>
      <c r="H169" s="17"/>
    </row>
    <row r="170" spans="1:9" x14ac:dyDescent="0.3">
      <c r="A170" s="17"/>
      <c r="B170" s="17"/>
      <c r="C170" s="17"/>
      <c r="D170" s="17"/>
      <c r="E170" s="17"/>
      <c r="F170" s="17"/>
      <c r="G170" s="17"/>
      <c r="H170" s="17"/>
    </row>
    <row r="171" spans="1:9" x14ac:dyDescent="0.3">
      <c r="A171" s="29" t="s">
        <v>135</v>
      </c>
      <c r="B171" s="16" t="s">
        <v>46</v>
      </c>
      <c r="C171" s="30">
        <v>0.61</v>
      </c>
      <c r="D171" s="30">
        <v>0.61</v>
      </c>
      <c r="E171" s="30">
        <v>0.61</v>
      </c>
      <c r="F171" s="30">
        <v>0.61</v>
      </c>
      <c r="G171" s="30">
        <v>0.61</v>
      </c>
      <c r="H171" s="17"/>
      <c r="I171" s="19" t="s">
        <v>136</v>
      </c>
    </row>
    <row r="172" spans="1:9" x14ac:dyDescent="0.3">
      <c r="A172" s="17"/>
      <c r="B172" s="16" t="s">
        <v>47</v>
      </c>
      <c r="C172" s="30">
        <v>0.6</v>
      </c>
      <c r="D172" s="30">
        <v>0.6</v>
      </c>
      <c r="E172" s="30">
        <v>0.6</v>
      </c>
      <c r="F172" s="30">
        <v>0.6</v>
      </c>
      <c r="G172" s="30">
        <v>0.6</v>
      </c>
      <c r="H172" s="17"/>
    </row>
    <row r="173" spans="1:9" x14ac:dyDescent="0.3">
      <c r="A173" s="17"/>
      <c r="B173" s="16" t="s">
        <v>48</v>
      </c>
      <c r="C173" s="30">
        <v>0.63</v>
      </c>
      <c r="D173" s="30">
        <v>0.63</v>
      </c>
      <c r="E173" s="30">
        <v>0.63</v>
      </c>
      <c r="F173" s="30">
        <v>0.63</v>
      </c>
      <c r="G173" s="30">
        <v>0.63</v>
      </c>
      <c r="H173" s="17"/>
    </row>
    <row r="174" spans="1:9" x14ac:dyDescent="0.3">
      <c r="A174" s="17"/>
      <c r="B174" s="29" t="s">
        <v>49</v>
      </c>
      <c r="C174" s="31">
        <f>CHOOSE($C$18,C171,C172,C173)</f>
        <v>0.61</v>
      </c>
      <c r="D174" s="31">
        <f>CHOOSE($C$18,D171,D172,D173)</f>
        <v>0.61</v>
      </c>
      <c r="E174" s="31">
        <f>CHOOSE($C$18,E171,E172,E173)</f>
        <v>0.61</v>
      </c>
      <c r="F174" s="31">
        <f>CHOOSE($C$18,F171,F172,F173)</f>
        <v>0.61</v>
      </c>
      <c r="G174" s="31">
        <f>CHOOSE($C$18,G171,G172,G173)</f>
        <v>0.61</v>
      </c>
      <c r="H174" s="35">
        <f>Model!E88</f>
        <v>0.60602457973740065</v>
      </c>
    </row>
    <row r="175" spans="1:9" x14ac:dyDescent="0.3">
      <c r="A175" s="17"/>
      <c r="B175" s="17"/>
      <c r="C175" s="17"/>
      <c r="D175" s="17"/>
      <c r="E175" s="17"/>
      <c r="F175" s="17"/>
      <c r="G175" s="17"/>
      <c r="H175" s="17"/>
    </row>
    <row r="176" spans="1:9" x14ac:dyDescent="0.3">
      <c r="A176" s="29" t="s">
        <v>137</v>
      </c>
      <c r="B176" s="16" t="s">
        <v>46</v>
      </c>
      <c r="C176" s="30">
        <v>0.108</v>
      </c>
      <c r="D176" s="30">
        <v>0.108</v>
      </c>
      <c r="E176" s="30">
        <v>0.108</v>
      </c>
      <c r="F176" s="30">
        <v>0.108</v>
      </c>
      <c r="G176" s="30">
        <v>0.108</v>
      </c>
      <c r="H176" s="17"/>
      <c r="I176" s="19" t="s">
        <v>138</v>
      </c>
    </row>
    <row r="177" spans="1:9" x14ac:dyDescent="0.3">
      <c r="A177" s="17"/>
      <c r="B177" s="16" t="s">
        <v>47</v>
      </c>
      <c r="C177" s="30">
        <v>0.108</v>
      </c>
      <c r="D177" s="30">
        <v>0.108</v>
      </c>
      <c r="E177" s="30">
        <v>0.108</v>
      </c>
      <c r="F177" s="30">
        <v>0.108</v>
      </c>
      <c r="G177" s="30">
        <v>0.108</v>
      </c>
      <c r="H177" s="17"/>
    </row>
    <row r="178" spans="1:9" x14ac:dyDescent="0.3">
      <c r="A178" s="17"/>
      <c r="B178" s="16" t="s">
        <v>48</v>
      </c>
      <c r="C178" s="30">
        <v>0.1</v>
      </c>
      <c r="D178" s="30">
        <v>0.1</v>
      </c>
      <c r="E178" s="30">
        <v>0.1</v>
      </c>
      <c r="F178" s="30">
        <v>0.1</v>
      </c>
      <c r="G178" s="30">
        <v>0.1</v>
      </c>
      <c r="H178" s="17"/>
    </row>
    <row r="179" spans="1:9" x14ac:dyDescent="0.3">
      <c r="A179" s="17"/>
      <c r="B179" s="29" t="s">
        <v>49</v>
      </c>
      <c r="C179" s="31">
        <f>CHOOSE($C$18,C176,C177,C178)</f>
        <v>0.108</v>
      </c>
      <c r="D179" s="31">
        <f>CHOOSE($C$18,D176,D177,D178)</f>
        <v>0.108</v>
      </c>
      <c r="E179" s="31">
        <f>CHOOSE($C$18,E176,E177,E178)</f>
        <v>0.108</v>
      </c>
      <c r="F179" s="31">
        <f>CHOOSE($C$18,F176,F177,F178)</f>
        <v>0.108</v>
      </c>
      <c r="G179" s="31">
        <f>CHOOSE($C$18,G176,G177,G178)</f>
        <v>0.108</v>
      </c>
      <c r="H179" s="35">
        <f>Model!E94</f>
        <v>0.10809853385486984</v>
      </c>
    </row>
    <row r="180" spans="1:9" x14ac:dyDescent="0.3">
      <c r="A180" s="17"/>
      <c r="B180" s="17"/>
      <c r="C180" s="17"/>
      <c r="D180" s="17"/>
      <c r="E180" s="17"/>
      <c r="F180" s="17"/>
      <c r="G180" s="17"/>
      <c r="H180" s="17"/>
    </row>
    <row r="181" spans="1:9" x14ac:dyDescent="0.3">
      <c r="A181" s="29" t="s">
        <v>139</v>
      </c>
      <c r="B181" s="16" t="s">
        <v>46</v>
      </c>
      <c r="C181" s="30">
        <v>0.02</v>
      </c>
      <c r="D181" s="30">
        <v>0.02</v>
      </c>
      <c r="E181" s="30">
        <v>0.02</v>
      </c>
      <c r="F181" s="30">
        <v>0.02</v>
      </c>
      <c r="G181" s="30">
        <v>0.02</v>
      </c>
      <c r="H181" s="17"/>
      <c r="I181" s="19" t="s">
        <v>140</v>
      </c>
    </row>
    <row r="182" spans="1:9" x14ac:dyDescent="0.3">
      <c r="A182" s="17"/>
      <c r="B182" s="16" t="s">
        <v>47</v>
      </c>
      <c r="C182" s="30">
        <v>0.02</v>
      </c>
      <c r="D182" s="30">
        <v>0.02</v>
      </c>
      <c r="E182" s="30">
        <v>0.02</v>
      </c>
      <c r="F182" s="30">
        <v>0.02</v>
      </c>
      <c r="G182" s="30">
        <v>0.02</v>
      </c>
      <c r="H182" s="17"/>
    </row>
    <row r="183" spans="1:9" x14ac:dyDescent="0.3">
      <c r="A183" s="17"/>
      <c r="B183" s="16" t="s">
        <v>48</v>
      </c>
      <c r="C183" s="30">
        <v>0.02</v>
      </c>
      <c r="D183" s="30">
        <v>0.02</v>
      </c>
      <c r="E183" s="30">
        <v>0.02</v>
      </c>
      <c r="F183" s="30">
        <v>0.02</v>
      </c>
      <c r="G183" s="30">
        <v>0.02</v>
      </c>
      <c r="H183" s="17"/>
    </row>
    <row r="184" spans="1:9" x14ac:dyDescent="0.3">
      <c r="A184" s="17"/>
      <c r="B184" s="29" t="s">
        <v>49</v>
      </c>
      <c r="C184" s="31">
        <f>CHOOSE($C$18,C181,C182,C183)</f>
        <v>0.02</v>
      </c>
      <c r="D184" s="31">
        <f>CHOOSE($C$18,D181,D182,D183)</f>
        <v>0.02</v>
      </c>
      <c r="E184" s="31">
        <f>CHOOSE($C$18,E181,E182,E183)</f>
        <v>0.02</v>
      </c>
      <c r="F184" s="31">
        <f>CHOOSE($C$18,F181,F182,F183)</f>
        <v>0.02</v>
      </c>
      <c r="G184" s="31">
        <f>CHOOSE($C$18,G181,G182,G183)</f>
        <v>0.02</v>
      </c>
      <c r="H184" s="35">
        <f>Model!E91</f>
        <v>1.9159965878826932E-2</v>
      </c>
    </row>
    <row r="185" spans="1:9" x14ac:dyDescent="0.3">
      <c r="A185" s="17"/>
      <c r="B185" s="17"/>
      <c r="C185" s="17"/>
      <c r="D185" s="17"/>
      <c r="E185" s="17"/>
      <c r="F185" s="17"/>
      <c r="G185" s="17"/>
      <c r="H185" s="17"/>
    </row>
    <row r="186" spans="1:9" x14ac:dyDescent="0.3">
      <c r="A186" s="29" t="s">
        <v>141</v>
      </c>
      <c r="B186" s="16" t="s">
        <v>46</v>
      </c>
      <c r="C186" s="25">
        <v>0.02</v>
      </c>
      <c r="D186" s="25">
        <v>0.02</v>
      </c>
      <c r="E186" s="25">
        <v>0.02</v>
      </c>
      <c r="F186" s="25">
        <v>0.02</v>
      </c>
      <c r="G186" s="25">
        <v>0.02</v>
      </c>
      <c r="H186" s="17"/>
      <c r="I186" s="19" t="s">
        <v>142</v>
      </c>
    </row>
    <row r="187" spans="1:9" x14ac:dyDescent="0.3">
      <c r="A187" s="17"/>
      <c r="B187" s="16" t="s">
        <v>47</v>
      </c>
      <c r="C187" s="25">
        <v>1.7999999999999999E-2</v>
      </c>
      <c r="D187" s="25">
        <v>1.7999999999999999E-2</v>
      </c>
      <c r="E187" s="25">
        <v>1.7999999999999999E-2</v>
      </c>
      <c r="F187" s="25">
        <v>1.7999999999999999E-2</v>
      </c>
      <c r="G187" s="25">
        <v>1.7999999999999999E-2</v>
      </c>
      <c r="H187" s="17"/>
    </row>
    <row r="188" spans="1:9" x14ac:dyDescent="0.3">
      <c r="A188" s="17"/>
      <c r="B188" s="16" t="s">
        <v>48</v>
      </c>
      <c r="C188" s="25">
        <v>3.5000000000000003E-2</v>
      </c>
      <c r="D188" s="25">
        <v>3.7999999999999999E-2</v>
      </c>
      <c r="E188" s="25">
        <v>3.2000000000000001E-2</v>
      </c>
      <c r="F188" s="25">
        <v>2.8000000000000001E-2</v>
      </c>
      <c r="G188" s="25">
        <v>2.5999999999999999E-2</v>
      </c>
      <c r="H188" s="17"/>
    </row>
    <row r="189" spans="1:9" x14ac:dyDescent="0.3">
      <c r="A189" s="17"/>
      <c r="B189" s="29" t="s">
        <v>49</v>
      </c>
      <c r="C189" s="39">
        <f>CHOOSE($C$18,C186,C187,C188)</f>
        <v>0.02</v>
      </c>
      <c r="D189" s="39">
        <f>CHOOSE($C$18,D186,D187,D188)</f>
        <v>0.02</v>
      </c>
      <c r="E189" s="39">
        <f>CHOOSE($C$18,E186,E187,E188)</f>
        <v>0.02</v>
      </c>
      <c r="F189" s="39">
        <f>CHOOSE($C$18,F186,F187,F188)</f>
        <v>0.02</v>
      </c>
      <c r="G189" s="39">
        <f>CHOOSE($C$18,G186,G187,G188)</f>
        <v>0.02</v>
      </c>
      <c r="H189" s="23">
        <f>Hist!H78</f>
        <v>2.0299999999999999E-2</v>
      </c>
    </row>
    <row r="190" spans="1:9" x14ac:dyDescent="0.3">
      <c r="A190" s="17"/>
      <c r="B190" s="17"/>
      <c r="C190" s="17"/>
      <c r="D190" s="17"/>
      <c r="E190" s="17"/>
      <c r="F190" s="17"/>
      <c r="G190" s="17"/>
      <c r="H190" s="17"/>
    </row>
    <row r="191" spans="1:9" x14ac:dyDescent="0.3">
      <c r="A191" s="29" t="s">
        <v>143</v>
      </c>
      <c r="B191" s="16" t="s">
        <v>46</v>
      </c>
      <c r="C191" s="30">
        <v>0.64</v>
      </c>
      <c r="D191" s="30">
        <v>0.64</v>
      </c>
      <c r="E191" s="30">
        <v>0.64</v>
      </c>
      <c r="F191" s="30">
        <v>0.64</v>
      </c>
      <c r="G191" s="30">
        <v>0.64</v>
      </c>
      <c r="H191" s="17"/>
      <c r="I191" s="19" t="s">
        <v>144</v>
      </c>
    </row>
    <row r="192" spans="1:9" x14ac:dyDescent="0.3">
      <c r="A192" s="17"/>
      <c r="B192" s="16" t="s">
        <v>47</v>
      </c>
      <c r="C192" s="30">
        <v>0.65</v>
      </c>
      <c r="D192" s="30">
        <v>0.65</v>
      </c>
      <c r="E192" s="30">
        <v>0.65</v>
      </c>
      <c r="F192" s="30">
        <v>0.65</v>
      </c>
      <c r="G192" s="30">
        <v>0.65</v>
      </c>
      <c r="H192" s="17"/>
    </row>
    <row r="193" spans="1:8" x14ac:dyDescent="0.3">
      <c r="A193" s="17"/>
      <c r="B193" s="16" t="s">
        <v>48</v>
      </c>
      <c r="C193" s="30">
        <v>0.6</v>
      </c>
      <c r="D193" s="30">
        <v>0.6</v>
      </c>
      <c r="E193" s="30">
        <v>0.6</v>
      </c>
      <c r="F193" s="30">
        <v>0.6</v>
      </c>
      <c r="G193" s="30">
        <v>0.6</v>
      </c>
      <c r="H193" s="17"/>
    </row>
    <row r="194" spans="1:8" x14ac:dyDescent="0.3">
      <c r="A194" s="17"/>
      <c r="B194" s="29" t="s">
        <v>49</v>
      </c>
      <c r="C194" s="31">
        <f>CHOOSE($C$18,C191,C192,C193)</f>
        <v>0.64</v>
      </c>
      <c r="D194" s="31">
        <f>CHOOSE($C$18,D191,D192,D193)</f>
        <v>0.64</v>
      </c>
      <c r="E194" s="31">
        <f>CHOOSE($C$18,E191,E192,E193)</f>
        <v>0.64</v>
      </c>
      <c r="F194" s="31">
        <f>CHOOSE($C$18,F191,F192,F193)</f>
        <v>0.64</v>
      </c>
      <c r="G194" s="31">
        <f>CHOOSE($C$18,G191,G192,G193)</f>
        <v>0.64</v>
      </c>
      <c r="H194" s="35">
        <f>1-Hist!H77/Hist!H76</f>
        <v>0.64077365531629926</v>
      </c>
    </row>
    <row r="195" spans="1:8" x14ac:dyDescent="0.3">
      <c r="A195" s="17"/>
      <c r="B195" s="17"/>
      <c r="C195" s="17"/>
      <c r="D195" s="17"/>
      <c r="E195" s="17"/>
      <c r="F195" s="17"/>
      <c r="G195" s="17"/>
      <c r="H195" s="17"/>
    </row>
    <row r="196" spans="1:8" x14ac:dyDescent="0.3">
      <c r="A196" s="48"/>
      <c r="B196" s="48"/>
      <c r="C196" s="48"/>
      <c r="D196" s="48"/>
      <c r="E196" s="48"/>
      <c r="F196" s="48"/>
      <c r="G196" s="48"/>
      <c r="H196" s="48"/>
    </row>
    <row r="197" spans="1:8" x14ac:dyDescent="0.3">
      <c r="A197" s="11" t="s">
        <v>46</v>
      </c>
      <c r="B197" s="16">
        <v>1</v>
      </c>
    </row>
    <row r="198" spans="1:8" x14ac:dyDescent="0.3">
      <c r="A198" s="11" t="s">
        <v>47</v>
      </c>
      <c r="B198" s="16">
        <v>2</v>
      </c>
    </row>
    <row r="199" spans="1:8" x14ac:dyDescent="0.3">
      <c r="A199" s="11" t="s">
        <v>48</v>
      </c>
      <c r="B199" s="16">
        <v>3</v>
      </c>
    </row>
  </sheetData>
  <dataValidations count="1">
    <dataValidation type="list" allowBlank="1" showInputMessage="1" showErrorMessage="1" sqref="C18" xr:uid="{BBD14684-5DDA-4A6D-A3D2-29275095D35E}">
      <formula1>$B$197:$B$199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CE11-07BE-4724-872D-8020F7A2B22E}">
  <dimension ref="A1:K120"/>
  <sheetViews>
    <sheetView showGridLines="0"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8.6640625" defaultRowHeight="13.8" x14ac:dyDescent="0.3"/>
  <cols>
    <col min="1" max="1" width="50" style="50" customWidth="1"/>
    <col min="2" max="2" width="10" style="50" customWidth="1"/>
    <col min="3" max="10" width="12" style="50" customWidth="1"/>
    <col min="11" max="11" width="44" style="50" customWidth="1"/>
    <col min="12" max="16384" width="8.6640625" style="50"/>
  </cols>
  <sheetData>
    <row r="1" spans="1:11" ht="18" x14ac:dyDescent="0.35">
      <c r="A1" s="49" t="s">
        <v>145</v>
      </c>
      <c r="F1" s="49" t="str">
        <f>CHOOSE(Inputs!C18,"BASE","UPSIDE","DOWNSIDE")</f>
        <v>BASE</v>
      </c>
    </row>
    <row r="2" spans="1:11" x14ac:dyDescent="0.3">
      <c r="A2" s="51" t="s">
        <v>146</v>
      </c>
    </row>
    <row r="4" spans="1:11" x14ac:dyDescent="0.3">
      <c r="A4" s="52" t="s">
        <v>147</v>
      </c>
      <c r="B4" s="53" t="s">
        <v>148</v>
      </c>
      <c r="C4" s="53" t="s">
        <v>149</v>
      </c>
      <c r="D4" s="53" t="s">
        <v>150</v>
      </c>
      <c r="E4" s="53" t="s">
        <v>84</v>
      </c>
      <c r="F4" s="53" t="s">
        <v>79</v>
      </c>
      <c r="G4" s="53" t="s">
        <v>80</v>
      </c>
      <c r="H4" s="53" t="s">
        <v>81</v>
      </c>
      <c r="I4" s="53" t="s">
        <v>82</v>
      </c>
      <c r="J4" s="53" t="s">
        <v>83</v>
      </c>
      <c r="K4" s="53" t="s">
        <v>151</v>
      </c>
    </row>
    <row r="5" spans="1:11" x14ac:dyDescent="0.3">
      <c r="A5" s="54" t="s">
        <v>152</v>
      </c>
      <c r="C5" s="55">
        <v>2024</v>
      </c>
      <c r="D5" s="55">
        <v>2025</v>
      </c>
      <c r="E5" s="55">
        <v>2026</v>
      </c>
      <c r="F5" s="55">
        <v>2027</v>
      </c>
      <c r="G5" s="55">
        <v>2028</v>
      </c>
      <c r="H5" s="55">
        <v>2029</v>
      </c>
      <c r="I5" s="55">
        <v>2030</v>
      </c>
      <c r="J5" s="55">
        <v>2031</v>
      </c>
      <c r="K5" s="56"/>
    </row>
    <row r="6" spans="1:11" x14ac:dyDescent="0.3">
      <c r="A6" s="57" t="s">
        <v>153</v>
      </c>
      <c r="B6" s="58"/>
      <c r="C6" s="58"/>
      <c r="D6" s="58"/>
      <c r="E6" s="58"/>
      <c r="F6" s="58"/>
      <c r="G6" s="58"/>
      <c r="H6" s="58"/>
      <c r="I6" s="58"/>
      <c r="J6" s="58"/>
      <c r="K6" s="59"/>
    </row>
    <row r="7" spans="1:11" x14ac:dyDescent="0.3">
      <c r="A7" s="54" t="s">
        <v>154</v>
      </c>
      <c r="K7" s="56"/>
    </row>
    <row r="8" spans="1:11" x14ac:dyDescent="0.3">
      <c r="K8" s="56"/>
    </row>
    <row r="9" spans="1:11" x14ac:dyDescent="0.3">
      <c r="K9" s="56"/>
    </row>
    <row r="10" spans="1:11" x14ac:dyDescent="0.3">
      <c r="K10" s="56"/>
    </row>
    <row r="11" spans="1:11" x14ac:dyDescent="0.3">
      <c r="K11" s="56"/>
    </row>
    <row r="12" spans="1:11" x14ac:dyDescent="0.3">
      <c r="K12" s="56"/>
    </row>
    <row r="13" spans="1:11" x14ac:dyDescent="0.3">
      <c r="A13" s="60" t="s">
        <v>155</v>
      </c>
      <c r="B13" s="54" t="s">
        <v>156</v>
      </c>
      <c r="D13" s="61">
        <v>76616</v>
      </c>
      <c r="E13" s="61">
        <v>92742</v>
      </c>
      <c r="F13" s="62">
        <f>E13*(1+Inputs!C44)</f>
        <v>111290.4</v>
      </c>
      <c r="G13" s="62">
        <f>F13*(1+Inputs!D44)</f>
        <v>131322.67199999999</v>
      </c>
      <c r="H13" s="62">
        <f>G13*(1+Inputs!E44)</f>
        <v>153647.52623999998</v>
      </c>
      <c r="I13" s="62">
        <f>H13*(1+Inputs!F44)</f>
        <v>178231.13043839997</v>
      </c>
      <c r="J13" s="62">
        <f>I13*(1+Inputs!G44)</f>
        <v>204965.80000415994</v>
      </c>
      <c r="K13" s="51" t="s">
        <v>157</v>
      </c>
    </row>
    <row r="14" spans="1:11" x14ac:dyDescent="0.3">
      <c r="A14" s="60" t="s">
        <v>158</v>
      </c>
      <c r="B14" s="54" t="s">
        <v>156</v>
      </c>
      <c r="D14" s="61">
        <v>23952</v>
      </c>
      <c r="E14" s="61">
        <v>30968</v>
      </c>
      <c r="F14" s="62">
        <f>E14*(1+Inputs!C49)</f>
        <v>38710</v>
      </c>
      <c r="G14" s="62">
        <f>F14*(1+Inputs!D49)</f>
        <v>46839.1</v>
      </c>
      <c r="H14" s="62">
        <f>G14*(1+Inputs!E49)</f>
        <v>56206.92</v>
      </c>
      <c r="I14" s="62">
        <f>H14*(1+Inputs!F49)</f>
        <v>66324.165599999993</v>
      </c>
      <c r="J14" s="62">
        <f>I14*(1+Inputs!G49)</f>
        <v>76936.032095999981</v>
      </c>
      <c r="K14" s="51" t="s">
        <v>157</v>
      </c>
    </row>
    <row r="15" spans="1:11" x14ac:dyDescent="0.3">
      <c r="A15" s="60" t="s">
        <v>159</v>
      </c>
      <c r="B15" s="54" t="s">
        <v>156</v>
      </c>
      <c r="D15" s="61">
        <v>6937</v>
      </c>
      <c r="E15" s="61">
        <v>7150</v>
      </c>
      <c r="F15" s="62">
        <f>E15*(1+Inputs!C54)</f>
        <v>7507.5</v>
      </c>
      <c r="G15" s="62">
        <f>F15*(1+Inputs!D54)</f>
        <v>8108.1</v>
      </c>
      <c r="H15" s="62">
        <f>G15*(1+Inputs!E54)</f>
        <v>9081.0720000000019</v>
      </c>
      <c r="I15" s="62">
        <f>H15*(1+Inputs!F54)</f>
        <v>10170.800640000003</v>
      </c>
      <c r="J15" s="62">
        <f>I15*(1+Inputs!G54)</f>
        <v>11391.296716800005</v>
      </c>
      <c r="K15" s="51" t="s">
        <v>157</v>
      </c>
    </row>
    <row r="16" spans="1:11" x14ac:dyDescent="0.3">
      <c r="A16" s="60" t="s">
        <v>160</v>
      </c>
      <c r="B16" s="54" t="s">
        <v>156</v>
      </c>
      <c r="D16" s="61">
        <v>3290</v>
      </c>
      <c r="E16" s="61">
        <v>2949</v>
      </c>
      <c r="F16" s="62">
        <f>E16*(1+Inputs!C59)</f>
        <v>2949</v>
      </c>
      <c r="G16" s="62">
        <f>F16*(1+Inputs!D59)</f>
        <v>3243.9</v>
      </c>
      <c r="H16" s="62">
        <f>G16*(1+Inputs!E59)</f>
        <v>3730.4849999999997</v>
      </c>
      <c r="I16" s="62">
        <f>H16*(1+Inputs!F59)</f>
        <v>4290.057749999999</v>
      </c>
      <c r="J16" s="62">
        <f>I16*(1+Inputs!G59)</f>
        <v>4933.5664124999985</v>
      </c>
      <c r="K16" s="51" t="s">
        <v>157</v>
      </c>
    </row>
    <row r="17" spans="1:11" x14ac:dyDescent="0.3">
      <c r="A17" s="60" t="s">
        <v>161</v>
      </c>
      <c r="B17" s="54" t="s">
        <v>156</v>
      </c>
      <c r="D17" s="61">
        <v>4909</v>
      </c>
      <c r="E17" s="61">
        <v>6518</v>
      </c>
      <c r="F17" s="62">
        <f>E17*(1+Inputs!C64)</f>
        <v>7821.5999999999995</v>
      </c>
      <c r="G17" s="62">
        <f>F17*(1+Inputs!D64)</f>
        <v>9229.4879999999994</v>
      </c>
      <c r="H17" s="62">
        <f>G17*(1+Inputs!E64)</f>
        <v>10706.206079999998</v>
      </c>
      <c r="I17" s="62">
        <f>H17*(1+Inputs!F64)</f>
        <v>12312.136991999996</v>
      </c>
      <c r="J17" s="62">
        <f>I17*(1+Inputs!G64)</f>
        <v>14158.957540799995</v>
      </c>
      <c r="K17" s="51" t="s">
        <v>157</v>
      </c>
    </row>
    <row r="18" spans="1:11" x14ac:dyDescent="0.3">
      <c r="A18" s="63" t="s">
        <v>162</v>
      </c>
      <c r="B18" s="54" t="s">
        <v>156</v>
      </c>
      <c r="C18" s="64">
        <f>Hist!F47</f>
        <v>73999</v>
      </c>
      <c r="D18" s="65">
        <f t="shared" ref="D18:J18" si="0">SUM(D13:D17)</f>
        <v>115704</v>
      </c>
      <c r="E18" s="65">
        <f t="shared" si="0"/>
        <v>140327</v>
      </c>
      <c r="F18" s="65">
        <f t="shared" si="0"/>
        <v>168278.5</v>
      </c>
      <c r="G18" s="65">
        <f t="shared" si="0"/>
        <v>198743.26</v>
      </c>
      <c r="H18" s="65">
        <f t="shared" si="0"/>
        <v>233372.20931999997</v>
      </c>
      <c r="I18" s="65">
        <f t="shared" si="0"/>
        <v>271328.29142039997</v>
      </c>
      <c r="J18" s="65">
        <f t="shared" si="0"/>
        <v>312385.65277025994</v>
      </c>
      <c r="K18" s="51" t="s">
        <v>163</v>
      </c>
    </row>
    <row r="19" spans="1:11" x14ac:dyDescent="0.3">
      <c r="A19" s="60" t="s">
        <v>164</v>
      </c>
      <c r="B19" s="54" t="s">
        <v>165</v>
      </c>
      <c r="D19" s="66">
        <f t="shared" ref="D19:J19" si="1">D18/C18-1</f>
        <v>0.56358869714455606</v>
      </c>
      <c r="E19" s="66">
        <f t="shared" si="1"/>
        <v>0.21281027449353518</v>
      </c>
      <c r="F19" s="66">
        <f t="shared" si="1"/>
        <v>0.19918832441369094</v>
      </c>
      <c r="G19" s="66">
        <f t="shared" si="1"/>
        <v>0.18103774397798889</v>
      </c>
      <c r="H19" s="66">
        <f t="shared" si="1"/>
        <v>0.17423961607553351</v>
      </c>
      <c r="I19" s="66">
        <f t="shared" si="1"/>
        <v>0.16264182530986204</v>
      </c>
      <c r="J19" s="66">
        <f t="shared" si="1"/>
        <v>0.15131986839604972</v>
      </c>
      <c r="K19" s="67" t="s">
        <v>166</v>
      </c>
    </row>
    <row r="20" spans="1:11" x14ac:dyDescent="0.3">
      <c r="A20" s="60" t="s">
        <v>167</v>
      </c>
      <c r="B20" s="54" t="s">
        <v>168</v>
      </c>
      <c r="C20" s="68">
        <f>C21/C18</f>
        <v>0.98869788375518586</v>
      </c>
      <c r="D20" s="68">
        <f>D21/D18</f>
        <v>0.92557287993500659</v>
      </c>
      <c r="E20" s="68">
        <f>E21/E18</f>
        <v>0.9568766595167002</v>
      </c>
      <c r="F20" s="68">
        <f>Inputs!C69</f>
        <v>0.95699999999999996</v>
      </c>
      <c r="G20" s="68">
        <f>Inputs!D69</f>
        <v>0.95699999999999996</v>
      </c>
      <c r="H20" s="68">
        <f>Inputs!E69</f>
        <v>0.95699999999999996</v>
      </c>
      <c r="I20" s="68">
        <f>Inputs!F69</f>
        <v>0.95699999999999996</v>
      </c>
      <c r="J20" s="68">
        <f>Inputs!G69</f>
        <v>0.95699999999999996</v>
      </c>
      <c r="K20" s="51"/>
    </row>
    <row r="21" spans="1:11" x14ac:dyDescent="0.3">
      <c r="A21" s="63" t="s">
        <v>169</v>
      </c>
      <c r="B21" s="54" t="s">
        <v>156</v>
      </c>
      <c r="C21" s="64">
        <f>Hist!F32</f>
        <v>73162.654699999999</v>
      </c>
      <c r="D21" s="64">
        <f>Hist!G32</f>
        <v>107092.48450000001</v>
      </c>
      <c r="E21" s="64">
        <f>Hist!H32</f>
        <v>134275.63099999999</v>
      </c>
      <c r="F21" s="65">
        <f>F18*F20</f>
        <v>161042.5245</v>
      </c>
      <c r="G21" s="65">
        <f>G18*G20</f>
        <v>190197.29982000001</v>
      </c>
      <c r="H21" s="65">
        <f>H18*H20</f>
        <v>223337.20431923997</v>
      </c>
      <c r="I21" s="65">
        <f>I18*I20</f>
        <v>259661.17488932275</v>
      </c>
      <c r="J21" s="65">
        <f>J18*J20</f>
        <v>298953.06970113877</v>
      </c>
      <c r="K21" s="51"/>
    </row>
    <row r="22" spans="1:11" x14ac:dyDescent="0.3">
      <c r="A22" s="60" t="s">
        <v>170</v>
      </c>
      <c r="B22" s="54" t="s">
        <v>165</v>
      </c>
      <c r="D22" s="66">
        <f t="shared" ref="D22:J22" si="2">D21/C21-1</f>
        <v>0.46375886631133967</v>
      </c>
      <c r="E22" s="66">
        <f t="shared" si="2"/>
        <v>0.25382870354455167</v>
      </c>
      <c r="F22" s="66">
        <f t="shared" si="2"/>
        <v>0.19934289863810073</v>
      </c>
      <c r="G22" s="66">
        <f t="shared" si="2"/>
        <v>0.18103774397798889</v>
      </c>
      <c r="H22" s="66">
        <f t="shared" si="2"/>
        <v>0.17423961607553351</v>
      </c>
      <c r="I22" s="66">
        <f t="shared" si="2"/>
        <v>0.16264182530986204</v>
      </c>
      <c r="J22" s="66">
        <f t="shared" si="2"/>
        <v>0.15131986839604994</v>
      </c>
      <c r="K22" s="51"/>
    </row>
    <row r="23" spans="1:11" x14ac:dyDescent="0.3">
      <c r="K23" s="56"/>
    </row>
    <row r="24" spans="1:11" x14ac:dyDescent="0.3">
      <c r="A24" s="57" t="s">
        <v>171</v>
      </c>
      <c r="B24" s="58"/>
      <c r="C24" s="58"/>
      <c r="D24" s="58"/>
      <c r="E24" s="58"/>
      <c r="F24" s="58"/>
      <c r="G24" s="58"/>
      <c r="H24" s="58"/>
      <c r="I24" s="58"/>
      <c r="J24" s="58"/>
      <c r="K24" s="59"/>
    </row>
    <row r="25" spans="1:11" x14ac:dyDescent="0.3">
      <c r="A25" s="63" t="s">
        <v>172</v>
      </c>
      <c r="B25" s="54" t="s">
        <v>156</v>
      </c>
      <c r="C25" s="64">
        <f>Hist!F40</f>
        <v>87182.116399999999</v>
      </c>
      <c r="D25" s="64">
        <f>Hist!G40</f>
        <v>124268.5438</v>
      </c>
      <c r="E25" s="64">
        <f>Hist!H40</f>
        <v>152661.1635</v>
      </c>
      <c r="F25" s="65">
        <f>F21/F26</f>
        <v>183002.86874999999</v>
      </c>
      <c r="G25" s="65">
        <f>G21/G26</f>
        <v>216133.29525000002</v>
      </c>
      <c r="H25" s="65">
        <f>H21/H26</f>
        <v>253792.27763549998</v>
      </c>
      <c r="I25" s="65">
        <f>I21/I26</f>
        <v>295069.51691968495</v>
      </c>
      <c r="J25" s="65">
        <f>J21/J26</f>
        <v>339719.39738765766</v>
      </c>
      <c r="K25" s="51" t="s">
        <v>173</v>
      </c>
    </row>
    <row r="26" spans="1:11" x14ac:dyDescent="0.3">
      <c r="A26" s="60" t="s">
        <v>174</v>
      </c>
      <c r="B26" s="54" t="s">
        <v>165</v>
      </c>
      <c r="C26" s="66">
        <f>C21/C25</f>
        <v>0.8391933772784621</v>
      </c>
      <c r="D26" s="66">
        <f>D21/D25</f>
        <v>0.86178272654708621</v>
      </c>
      <c r="E26" s="66">
        <f>E21/E25</f>
        <v>0.87956640655368779</v>
      </c>
      <c r="F26" s="66">
        <f>Inputs!C74</f>
        <v>0.88</v>
      </c>
      <c r="G26" s="66">
        <f>Inputs!D74</f>
        <v>0.88</v>
      </c>
      <c r="H26" s="66">
        <f>Inputs!E74</f>
        <v>0.88</v>
      </c>
      <c r="I26" s="66">
        <f>Inputs!F74</f>
        <v>0.88</v>
      </c>
      <c r="J26" s="66">
        <f>Inputs!G74</f>
        <v>0.88</v>
      </c>
      <c r="K26" s="51"/>
    </row>
    <row r="27" spans="1:11" x14ac:dyDescent="0.3">
      <c r="A27" s="60" t="s">
        <v>175</v>
      </c>
      <c r="B27" s="54" t="s">
        <v>156</v>
      </c>
      <c r="C27" s="64">
        <f>Hist!F48</f>
        <v>29126</v>
      </c>
      <c r="E27" s="64">
        <f>Hist!H48</f>
        <v>43357</v>
      </c>
      <c r="F27" s="62">
        <f>F25*F28</f>
        <v>52155.817593749991</v>
      </c>
      <c r="G27" s="62">
        <f>G25*G28</f>
        <v>62678.655622500002</v>
      </c>
      <c r="H27" s="62">
        <f>H25*H28</f>
        <v>74868.721902472491</v>
      </c>
      <c r="I27" s="62">
        <f>I25*I28</f>
        <v>88520.855075905478</v>
      </c>
      <c r="J27" s="62">
        <f>J25*J28</f>
        <v>103614.41620323558</v>
      </c>
      <c r="K27" s="51"/>
    </row>
    <row r="28" spans="1:11" x14ac:dyDescent="0.3">
      <c r="A28" s="60" t="s">
        <v>97</v>
      </c>
      <c r="B28" s="54" t="s">
        <v>165</v>
      </c>
      <c r="C28" s="66">
        <f>C27/C25</f>
        <v>0.33408227745203029</v>
      </c>
      <c r="E28" s="66">
        <f>E27/E25</f>
        <v>0.2840080542160941</v>
      </c>
      <c r="F28" s="66">
        <f>Inputs!C79</f>
        <v>0.28499999999999998</v>
      </c>
      <c r="G28" s="66">
        <f>Inputs!D79</f>
        <v>0.28999999999999998</v>
      </c>
      <c r="H28" s="66">
        <f>Inputs!E79</f>
        <v>0.29499999999999998</v>
      </c>
      <c r="I28" s="66">
        <f>Inputs!F79</f>
        <v>0.3</v>
      </c>
      <c r="J28" s="66">
        <f>Inputs!G79</f>
        <v>0.30499999999999999</v>
      </c>
      <c r="K28" s="51"/>
    </row>
    <row r="29" spans="1:11" x14ac:dyDescent="0.3">
      <c r="A29" s="60" t="s">
        <v>176</v>
      </c>
      <c r="B29" s="54" t="s">
        <v>156</v>
      </c>
      <c r="C29" s="62">
        <f>C25-C27</f>
        <v>58056.116399999999</v>
      </c>
      <c r="E29" s="62">
        <f t="shared" ref="E29:J29" si="3">E25-E27</f>
        <v>109304.1635</v>
      </c>
      <c r="F29" s="62">
        <f t="shared" si="3"/>
        <v>130847.05115625</v>
      </c>
      <c r="G29" s="62">
        <f t="shared" si="3"/>
        <v>153454.63962750003</v>
      </c>
      <c r="H29" s="62">
        <f t="shared" si="3"/>
        <v>178923.55573302749</v>
      </c>
      <c r="I29" s="62">
        <f t="shared" si="3"/>
        <v>206548.66184377947</v>
      </c>
      <c r="J29" s="62">
        <f t="shared" si="3"/>
        <v>236104.9811844221</v>
      </c>
      <c r="K29" s="51"/>
    </row>
    <row r="30" spans="1:11" x14ac:dyDescent="0.3">
      <c r="A30" s="60" t="s">
        <v>177</v>
      </c>
      <c r="B30" s="54" t="s">
        <v>165</v>
      </c>
      <c r="D30" s="66">
        <f t="shared" ref="D30:J30" si="4">D25/C25-1</f>
        <v>0.42539030860232718</v>
      </c>
      <c r="E30" s="66">
        <f t="shared" si="4"/>
        <v>0.22847793038997533</v>
      </c>
      <c r="F30" s="66">
        <f t="shared" si="4"/>
        <v>0.1987519586145432</v>
      </c>
      <c r="G30" s="66">
        <f t="shared" si="4"/>
        <v>0.18103774397798911</v>
      </c>
      <c r="H30" s="66">
        <f t="shared" si="4"/>
        <v>0.17423961607553351</v>
      </c>
      <c r="I30" s="66">
        <f t="shared" si="4"/>
        <v>0.16264182530986182</v>
      </c>
      <c r="J30" s="66">
        <f t="shared" si="4"/>
        <v>0.15131986839604972</v>
      </c>
      <c r="K30" s="51"/>
    </row>
    <row r="31" spans="1:11" x14ac:dyDescent="0.3">
      <c r="A31" s="60" t="s">
        <v>178</v>
      </c>
      <c r="B31" s="54" t="s">
        <v>156</v>
      </c>
      <c r="C31" s="64">
        <f>Hist!F41</f>
        <v>5479.3720999999996</v>
      </c>
      <c r="D31" s="64">
        <f>Hist!G41</f>
        <v>11659.902400000001</v>
      </c>
      <c r="E31" s="64">
        <f>Hist!H41</f>
        <v>13871.5447</v>
      </c>
      <c r="F31" s="62">
        <f>F25*Inputs!C89</f>
        <v>16470.2581875</v>
      </c>
      <c r="G31" s="62">
        <f>G25*Inputs!D89</f>
        <v>19451.9965725</v>
      </c>
      <c r="H31" s="62">
        <f>H25*Inputs!E89</f>
        <v>22841.304987194999</v>
      </c>
      <c r="I31" s="62">
        <f>I25*Inputs!F89</f>
        <v>26556.256522771644</v>
      </c>
      <c r="J31" s="62">
        <f>J25*Inputs!G89</f>
        <v>30574.745764889187</v>
      </c>
      <c r="K31" s="51" t="s">
        <v>179</v>
      </c>
    </row>
    <row r="32" spans="1:11" x14ac:dyDescent="0.3">
      <c r="A32" s="60" t="s">
        <v>180</v>
      </c>
      <c r="B32" s="54" t="s">
        <v>156</v>
      </c>
      <c r="C32" s="64">
        <f>Hist!F42</f>
        <v>4204.6499000000003</v>
      </c>
      <c r="D32" s="64">
        <f>Hist!G42</f>
        <v>4750.9382999999998</v>
      </c>
      <c r="E32" s="64">
        <f>Hist!H42</f>
        <v>5291.2379000000001</v>
      </c>
      <c r="F32" s="62">
        <f>F25*Inputs!C94</f>
        <v>6405.1004062500006</v>
      </c>
      <c r="G32" s="62">
        <f>G25*Inputs!D94</f>
        <v>7564.665333750002</v>
      </c>
      <c r="H32" s="62">
        <f>H25*Inputs!E94</f>
        <v>8882.7297172425006</v>
      </c>
      <c r="I32" s="62">
        <f>I25*Inputs!F94</f>
        <v>10327.433092188974</v>
      </c>
      <c r="J32" s="62">
        <f>J25*Inputs!G94</f>
        <v>11890.178908568019</v>
      </c>
      <c r="K32" s="51"/>
    </row>
    <row r="33" spans="1:11" x14ac:dyDescent="0.3">
      <c r="A33" s="63" t="s">
        <v>181</v>
      </c>
      <c r="B33" s="54" t="s">
        <v>156</v>
      </c>
      <c r="C33" s="64">
        <f>Hist!F39</f>
        <v>12559.531500000001</v>
      </c>
      <c r="D33" s="64">
        <f>Hist!G39</f>
        <v>17166.2817</v>
      </c>
      <c r="E33" s="64">
        <f>Hist!H39</f>
        <v>19973.522000000001</v>
      </c>
      <c r="F33" s="65">
        <f>F80</f>
        <v>23622.054454939138</v>
      </c>
      <c r="G33" s="65">
        <f>G80</f>
        <v>28130.060546380795</v>
      </c>
      <c r="H33" s="65">
        <f>H80</f>
        <v>33552.505705649863</v>
      </c>
      <c r="I33" s="65">
        <f>I80</f>
        <v>40011.329461333902</v>
      </c>
      <c r="J33" s="65">
        <f>J80</f>
        <v>47661.968787144935</v>
      </c>
      <c r="K33" s="51"/>
    </row>
    <row r="34" spans="1:11" x14ac:dyDescent="0.3">
      <c r="A34" s="63" t="s">
        <v>182</v>
      </c>
      <c r="B34" s="54" t="s">
        <v>156</v>
      </c>
      <c r="C34" s="65">
        <f t="shared" ref="C34:J34" si="5">C25+C31+C32+C33</f>
        <v>109425.66989999999</v>
      </c>
      <c r="D34" s="65">
        <f t="shared" si="5"/>
        <v>157845.66620000001</v>
      </c>
      <c r="E34" s="65">
        <f t="shared" si="5"/>
        <v>191797.4681</v>
      </c>
      <c r="F34" s="65">
        <f t="shared" si="5"/>
        <v>229500.28179868916</v>
      </c>
      <c r="G34" s="65">
        <f t="shared" si="5"/>
        <v>271280.01770263084</v>
      </c>
      <c r="H34" s="65">
        <f t="shared" si="5"/>
        <v>319068.81804558728</v>
      </c>
      <c r="I34" s="65">
        <f t="shared" si="5"/>
        <v>371964.5359959795</v>
      </c>
      <c r="J34" s="65">
        <f t="shared" si="5"/>
        <v>429846.29084825976</v>
      </c>
      <c r="K34" s="51"/>
    </row>
    <row r="35" spans="1:11" x14ac:dyDescent="0.3">
      <c r="K35" s="56"/>
    </row>
    <row r="36" spans="1:11" x14ac:dyDescent="0.3">
      <c r="A36" s="57" t="s">
        <v>183</v>
      </c>
      <c r="B36" s="58"/>
      <c r="C36" s="58"/>
      <c r="D36" s="58"/>
      <c r="E36" s="58"/>
      <c r="F36" s="58"/>
      <c r="G36" s="58"/>
      <c r="H36" s="58"/>
      <c r="I36" s="58"/>
      <c r="J36" s="58"/>
      <c r="K36" s="59"/>
    </row>
    <row r="37" spans="1:11" x14ac:dyDescent="0.3">
      <c r="A37" s="60" t="s">
        <v>184</v>
      </c>
      <c r="B37" s="54" t="s">
        <v>156</v>
      </c>
      <c r="C37" s="64">
        <f>Hist!F29</f>
        <v>4638.0093999999999</v>
      </c>
      <c r="D37" s="64">
        <f>Hist!G29</f>
        <v>8604.6221000000005</v>
      </c>
      <c r="E37" s="64">
        <f>Hist!H29</f>
        <v>6973.2601999999997</v>
      </c>
      <c r="K37" s="51" t="s">
        <v>185</v>
      </c>
    </row>
    <row r="38" spans="1:11" x14ac:dyDescent="0.3">
      <c r="A38" s="60" t="s">
        <v>186</v>
      </c>
      <c r="B38" s="54" t="s">
        <v>156</v>
      </c>
      <c r="C38" s="64">
        <f>Hist!F30</f>
        <v>1738.3249000000001</v>
      </c>
      <c r="D38" s="64">
        <f>Hist!G30</f>
        <v>861.73969999999997</v>
      </c>
      <c r="E38" s="64">
        <f>Hist!H30</f>
        <v>1550.1495</v>
      </c>
      <c r="K38" s="51"/>
    </row>
    <row r="39" spans="1:11" x14ac:dyDescent="0.3">
      <c r="A39" s="63" t="s">
        <v>187</v>
      </c>
      <c r="B39" s="54" t="s">
        <v>156</v>
      </c>
      <c r="C39" s="65">
        <f>C37+C38</f>
        <v>6376.3343000000004</v>
      </c>
      <c r="D39" s="65">
        <f>D37+D38</f>
        <v>9466.3618000000006</v>
      </c>
      <c r="E39" s="65">
        <f>E37+E38</f>
        <v>8523.4097000000002</v>
      </c>
      <c r="F39" s="65">
        <f>F34-F21-F40-F41-F42</f>
        <v>10425.012146689169</v>
      </c>
      <c r="G39" s="65">
        <f>G34-G21-G40-G41-G42</f>
        <v>12671.89674391082</v>
      </c>
      <c r="H39" s="65">
        <f>H34-H21-H40-H41-H42</f>
        <v>15529.947479348275</v>
      </c>
      <c r="I39" s="65">
        <f>I34-I21-I40-I41-I42</f>
        <v>19177.309641072337</v>
      </c>
      <c r="J39" s="65">
        <f>J34-J21-J40-J41-J42</f>
        <v>23783.273866156356</v>
      </c>
      <c r="K39" s="51" t="s">
        <v>188</v>
      </c>
    </row>
    <row r="40" spans="1:11" x14ac:dyDescent="0.3">
      <c r="A40" s="60" t="s">
        <v>189</v>
      </c>
      <c r="B40" s="54" t="s">
        <v>156</v>
      </c>
      <c r="C40" s="64">
        <f>Hist!F31</f>
        <v>27133.365300000001</v>
      </c>
      <c r="D40" s="64">
        <f>Hist!G31</f>
        <v>37847.523500000003</v>
      </c>
      <c r="E40" s="64">
        <f>Hist!H31</f>
        <v>44793.651299999998</v>
      </c>
      <c r="F40" s="62">
        <f>F25*Inputs!C84</f>
        <v>53070.831937499992</v>
      </c>
      <c r="G40" s="62">
        <f>G25*Inputs!D84</f>
        <v>62678.655622500002</v>
      </c>
      <c r="H40" s="62">
        <f>H25*Inputs!E84</f>
        <v>73599.760514294991</v>
      </c>
      <c r="I40" s="62">
        <f>I25*Inputs!F84</f>
        <v>85570.159906708635</v>
      </c>
      <c r="J40" s="62">
        <f>J25*Inputs!G84</f>
        <v>98518.62524242072</v>
      </c>
      <c r="K40" s="51"/>
    </row>
    <row r="41" spans="1:11" x14ac:dyDescent="0.3">
      <c r="A41" s="60" t="s">
        <v>190</v>
      </c>
      <c r="B41" s="54" t="s">
        <v>156</v>
      </c>
      <c r="C41" s="64">
        <f>Hist!F33</f>
        <v>851.5924</v>
      </c>
      <c r="D41" s="64">
        <f>Hist!G33</f>
        <v>912.46519999999998</v>
      </c>
      <c r="E41" s="64">
        <f>Hist!H33</f>
        <v>1436.3820000000001</v>
      </c>
      <c r="F41" s="62">
        <f>E41*(1+Inputs!C104)</f>
        <v>1580.0202000000002</v>
      </c>
      <c r="G41" s="62">
        <f>F41*(1+Inputs!D104)</f>
        <v>1738.0222200000003</v>
      </c>
      <c r="H41" s="62">
        <f>G41*(1+Inputs!E104)</f>
        <v>1911.8244420000005</v>
      </c>
      <c r="I41" s="62">
        <f>H41*(1+Inputs!F104)</f>
        <v>2103.0068862000007</v>
      </c>
      <c r="J41" s="62">
        <f>I41*(1+Inputs!G104)</f>
        <v>2313.3075748200008</v>
      </c>
      <c r="K41" s="51"/>
    </row>
    <row r="42" spans="1:11" x14ac:dyDescent="0.3">
      <c r="A42" s="60" t="s">
        <v>191</v>
      </c>
      <c r="B42" s="54" t="s">
        <v>156</v>
      </c>
      <c r="C42" s="64">
        <f>Hist!F34</f>
        <v>1901.7231999999999</v>
      </c>
      <c r="D42" s="64">
        <f>Hist!G34</f>
        <v>2526.8312000000001</v>
      </c>
      <c r="E42" s="64">
        <f>Hist!H34</f>
        <v>2768.3941</v>
      </c>
      <c r="F42" s="62">
        <f>F21*Inputs!C99</f>
        <v>3381.8930145000004</v>
      </c>
      <c r="G42" s="62">
        <f>G21*Inputs!D99</f>
        <v>3994.1432962200006</v>
      </c>
      <c r="H42" s="62">
        <f>H21*Inputs!E99</f>
        <v>4690.0812907040399</v>
      </c>
      <c r="I42" s="62">
        <f>I21*Inputs!F99</f>
        <v>5452.8846726757783</v>
      </c>
      <c r="J42" s="62">
        <f>J21*Inputs!G99</f>
        <v>6278.0144637239146</v>
      </c>
      <c r="K42" s="51"/>
    </row>
    <row r="43" spans="1:11" x14ac:dyDescent="0.3">
      <c r="A43" s="63" t="s">
        <v>192</v>
      </c>
      <c r="B43" s="54" t="s">
        <v>156</v>
      </c>
      <c r="C43" s="65">
        <f t="shared" ref="C43:J43" si="6">C21+C39+C40+C41+C42</f>
        <v>109425.66989999999</v>
      </c>
      <c r="D43" s="65">
        <f t="shared" si="6"/>
        <v>157845.66620000001</v>
      </c>
      <c r="E43" s="65">
        <f t="shared" si="6"/>
        <v>191797.4681</v>
      </c>
      <c r="F43" s="65">
        <f t="shared" si="6"/>
        <v>229500.28179868916</v>
      </c>
      <c r="G43" s="65">
        <f t="shared" si="6"/>
        <v>271280.01770263084</v>
      </c>
      <c r="H43" s="65">
        <f t="shared" si="6"/>
        <v>319068.81804558728</v>
      </c>
      <c r="I43" s="65">
        <f t="shared" si="6"/>
        <v>371964.5359959795</v>
      </c>
      <c r="J43" s="65">
        <f t="shared" si="6"/>
        <v>429846.29084825976</v>
      </c>
      <c r="K43" s="51"/>
    </row>
    <row r="44" spans="1:11" x14ac:dyDescent="0.3">
      <c r="A44" s="60" t="s">
        <v>193</v>
      </c>
      <c r="B44" s="54" t="s">
        <v>156</v>
      </c>
      <c r="C44" s="62">
        <f t="shared" ref="C44:J44" si="7">ROUND(C43-C34,2)</f>
        <v>0</v>
      </c>
      <c r="D44" s="62">
        <f t="shared" si="7"/>
        <v>0</v>
      </c>
      <c r="E44" s="62">
        <f t="shared" si="7"/>
        <v>0</v>
      </c>
      <c r="F44" s="62">
        <f t="shared" si="7"/>
        <v>0</v>
      </c>
      <c r="G44" s="62">
        <f t="shared" si="7"/>
        <v>0</v>
      </c>
      <c r="H44" s="62">
        <f t="shared" si="7"/>
        <v>0</v>
      </c>
      <c r="I44" s="62">
        <f t="shared" si="7"/>
        <v>0</v>
      </c>
      <c r="J44" s="62">
        <f t="shared" si="7"/>
        <v>0</v>
      </c>
      <c r="K44" s="51" t="s">
        <v>194</v>
      </c>
    </row>
    <row r="45" spans="1:11" x14ac:dyDescent="0.3">
      <c r="A45" s="60" t="s">
        <v>195</v>
      </c>
      <c r="B45" s="54" t="s">
        <v>156</v>
      </c>
      <c r="C45" s="62">
        <f t="shared" ref="C45:J45" si="8">C21+C40+C41+C42</f>
        <v>103049.33559999999</v>
      </c>
      <c r="D45" s="62">
        <f t="shared" si="8"/>
        <v>148379.30439999999</v>
      </c>
      <c r="E45" s="62">
        <f t="shared" si="8"/>
        <v>183274.05840000001</v>
      </c>
      <c r="F45" s="62">
        <f t="shared" si="8"/>
        <v>219075.26965199999</v>
      </c>
      <c r="G45" s="62">
        <f t="shared" si="8"/>
        <v>258608.12095872001</v>
      </c>
      <c r="H45" s="62">
        <f t="shared" si="8"/>
        <v>303538.870566239</v>
      </c>
      <c r="I45" s="62">
        <f t="shared" si="8"/>
        <v>352787.22635490715</v>
      </c>
      <c r="J45" s="62">
        <f t="shared" si="8"/>
        <v>406063.01698210341</v>
      </c>
      <c r="K45" s="51" t="s">
        <v>196</v>
      </c>
    </row>
    <row r="46" spans="1:11" x14ac:dyDescent="0.3">
      <c r="A46" s="60" t="s">
        <v>197</v>
      </c>
      <c r="B46" s="54" t="s">
        <v>156</v>
      </c>
      <c r="C46" s="62">
        <f t="shared" ref="C46:J46" si="9">C21+C39+C40</f>
        <v>106672.35430000001</v>
      </c>
      <c r="D46" s="62">
        <f t="shared" si="9"/>
        <v>154406.36980000001</v>
      </c>
      <c r="E46" s="62">
        <f t="shared" si="9"/>
        <v>187592.69199999998</v>
      </c>
      <c r="F46" s="62">
        <f t="shared" si="9"/>
        <v>224538.36858418916</v>
      </c>
      <c r="G46" s="62">
        <f t="shared" si="9"/>
        <v>265547.85218641086</v>
      </c>
      <c r="H46" s="62">
        <f t="shared" si="9"/>
        <v>312466.91231288324</v>
      </c>
      <c r="I46" s="62">
        <f t="shared" si="9"/>
        <v>364408.64443710371</v>
      </c>
      <c r="J46" s="62">
        <f t="shared" si="9"/>
        <v>421254.96880971582</v>
      </c>
      <c r="K46" s="51"/>
    </row>
    <row r="47" spans="1:11" x14ac:dyDescent="0.3">
      <c r="A47" s="60" t="s">
        <v>198</v>
      </c>
      <c r="B47" s="54" t="s">
        <v>165</v>
      </c>
      <c r="C47" s="66">
        <f t="shared" ref="C47:J47" si="10">C39/C25</f>
        <v>7.3138099455452091E-2</v>
      </c>
      <c r="D47" s="66">
        <f t="shared" si="10"/>
        <v>7.6176653483888343E-2</v>
      </c>
      <c r="E47" s="66">
        <f t="shared" si="10"/>
        <v>5.583220712188533E-2</v>
      </c>
      <c r="F47" s="66">
        <f t="shared" si="10"/>
        <v>5.6966386471956162E-2</v>
      </c>
      <c r="G47" s="66">
        <f t="shared" si="10"/>
        <v>5.8630007603656421E-2</v>
      </c>
      <c r="H47" s="66">
        <f t="shared" si="10"/>
        <v>6.1191568254305211E-2</v>
      </c>
      <c r="I47" s="66">
        <f t="shared" si="10"/>
        <v>6.4992513768517182E-2</v>
      </c>
      <c r="J47" s="66">
        <f t="shared" si="10"/>
        <v>7.000858369890782E-2</v>
      </c>
      <c r="K47" s="51"/>
    </row>
    <row r="48" spans="1:11" x14ac:dyDescent="0.3">
      <c r="K48" s="56"/>
    </row>
    <row r="49" spans="1:11" x14ac:dyDescent="0.3">
      <c r="A49" s="57" t="s">
        <v>199</v>
      </c>
      <c r="B49" s="58"/>
      <c r="C49" s="58"/>
      <c r="D49" s="58"/>
      <c r="E49" s="58"/>
      <c r="F49" s="58"/>
      <c r="G49" s="58"/>
      <c r="H49" s="58"/>
      <c r="I49" s="58"/>
      <c r="J49" s="58"/>
      <c r="K49" s="59"/>
    </row>
    <row r="50" spans="1:11" x14ac:dyDescent="0.3">
      <c r="A50" s="60" t="s">
        <v>200</v>
      </c>
      <c r="B50" s="54" t="s">
        <v>156</v>
      </c>
      <c r="C50" s="64">
        <f>Hist!F6</f>
        <v>8442.1476000000002</v>
      </c>
      <c r="D50" s="64">
        <f>Hist!G6</f>
        <v>13368.347100000001</v>
      </c>
      <c r="E50" s="64">
        <f>Hist!H6</f>
        <v>15711.1093</v>
      </c>
      <c r="F50" s="62">
        <f>F54*(F21+E21)/2</f>
        <v>18974.191490875</v>
      </c>
      <c r="G50" s="62">
        <f>G54*(G21+F21)/2</f>
        <v>22479.348756480002</v>
      </c>
      <c r="H50" s="62">
        <f>H54*(H21+G21)/2</f>
        <v>26362.824638876551</v>
      </c>
      <c r="I50" s="62">
        <f>I54*(I21+H21)/2</f>
        <v>30791.146674545875</v>
      </c>
      <c r="J50" s="62">
        <f>J54*(J21+I21)/2</f>
        <v>35611.658092641919</v>
      </c>
      <c r="K50" s="51"/>
    </row>
    <row r="51" spans="1:11" x14ac:dyDescent="0.3">
      <c r="A51" s="60" t="s">
        <v>201</v>
      </c>
      <c r="B51" s="54" t="s">
        <v>156</v>
      </c>
      <c r="C51" s="64">
        <f>Hist!F7</f>
        <v>1632.3875</v>
      </c>
      <c r="D51" s="64">
        <f>Hist!G7</f>
        <v>2238.1759999999999</v>
      </c>
      <c r="E51" s="64">
        <f>Hist!H7</f>
        <v>2647.2073999999998</v>
      </c>
      <c r="F51" s="62">
        <f>F55*(F40+E40)/2</f>
        <v>3082.7312219812493</v>
      </c>
      <c r="G51" s="62">
        <f>G55*(G40+F40)/2</f>
        <v>3646.1088581399999</v>
      </c>
      <c r="H51" s="62">
        <f>H55*(H40+G40)/2</f>
        <v>4292.7701083090424</v>
      </c>
      <c r="I51" s="62">
        <f>I55*(I40+H40)/2</f>
        <v>5013.8524932616147</v>
      </c>
      <c r="J51" s="62">
        <f>J55*(J40+I40)/2</f>
        <v>5798.7967321975739</v>
      </c>
      <c r="K51" s="51"/>
    </row>
    <row r="52" spans="1:11" x14ac:dyDescent="0.3">
      <c r="A52" s="60" t="s">
        <v>202</v>
      </c>
      <c r="B52" s="54" t="s">
        <v>156</v>
      </c>
      <c r="C52" s="64">
        <f>Hist!F8+Hist!F9</f>
        <v>480.178</v>
      </c>
      <c r="D52" s="64">
        <f>Hist!G8+Hist!G9</f>
        <v>457.20780000000002</v>
      </c>
      <c r="E52" s="64">
        <f>Hist!H8+Hist!H9</f>
        <v>278.02229999999997</v>
      </c>
      <c r="F52" s="62">
        <f>F56*E39</f>
        <v>255.702291</v>
      </c>
      <c r="G52" s="62">
        <f>G56*F39</f>
        <v>312.75036440067504</v>
      </c>
      <c r="H52" s="62">
        <f>H56*G39</f>
        <v>380.15690231732458</v>
      </c>
      <c r="I52" s="62">
        <f>I56*H39</f>
        <v>465.8984243804482</v>
      </c>
      <c r="J52" s="62">
        <f>J56*I39</f>
        <v>575.31928923217015</v>
      </c>
      <c r="K52" s="51" t="s">
        <v>203</v>
      </c>
    </row>
    <row r="53" spans="1:11" x14ac:dyDescent="0.3">
      <c r="A53" s="63" t="s">
        <v>204</v>
      </c>
      <c r="B53" s="54" t="s">
        <v>156</v>
      </c>
      <c r="C53" s="65">
        <f t="shared" ref="C53:J53" si="11">SUM(C50:C52)</f>
        <v>10554.713100000001</v>
      </c>
      <c r="D53" s="65">
        <f t="shared" si="11"/>
        <v>16063.7309</v>
      </c>
      <c r="E53" s="65">
        <f t="shared" si="11"/>
        <v>18636.339</v>
      </c>
      <c r="F53" s="65">
        <f t="shared" si="11"/>
        <v>22312.62500385625</v>
      </c>
      <c r="G53" s="65">
        <f t="shared" si="11"/>
        <v>26438.207979020677</v>
      </c>
      <c r="H53" s="65">
        <f t="shared" si="11"/>
        <v>31035.751649502919</v>
      </c>
      <c r="I53" s="65">
        <f t="shared" si="11"/>
        <v>36270.897592187939</v>
      </c>
      <c r="J53" s="65">
        <f t="shared" si="11"/>
        <v>41985.774114071661</v>
      </c>
      <c r="K53" s="51"/>
    </row>
    <row r="54" spans="1:11" x14ac:dyDescent="0.3">
      <c r="A54" s="60" t="s">
        <v>205</v>
      </c>
      <c r="B54" s="54" t="s">
        <v>165</v>
      </c>
      <c r="D54" s="69">
        <f>D50/((D21+C21)/2)</f>
        <v>0.14832694545443506</v>
      </c>
      <c r="E54" s="69">
        <f>E50/((E21+D21)/2)</f>
        <v>0.13018380051941864</v>
      </c>
      <c r="F54" s="69">
        <f>Inputs!C109</f>
        <v>0.1285</v>
      </c>
      <c r="G54" s="69">
        <f>Inputs!D109</f>
        <v>0.128</v>
      </c>
      <c r="H54" s="69">
        <f>Inputs!E109</f>
        <v>0.1275</v>
      </c>
      <c r="I54" s="69">
        <f>Inputs!F109</f>
        <v>0.1275</v>
      </c>
      <c r="J54" s="69">
        <f>Inputs!G109</f>
        <v>0.1275</v>
      </c>
      <c r="K54" s="51"/>
    </row>
    <row r="55" spans="1:11" x14ac:dyDescent="0.3">
      <c r="A55" s="60" t="s">
        <v>206</v>
      </c>
      <c r="B55" s="54" t="s">
        <v>165</v>
      </c>
      <c r="D55" s="69">
        <f>D51/((D40+C40)/2)</f>
        <v>6.8887207957057051E-2</v>
      </c>
      <c r="E55" s="69">
        <f>E51/((E40+D40)/2)</f>
        <v>6.4065096034912603E-2</v>
      </c>
      <c r="F55" s="69">
        <f>Inputs!C114</f>
        <v>6.3E-2</v>
      </c>
      <c r="G55" s="69">
        <f>Inputs!D114</f>
        <v>6.3E-2</v>
      </c>
      <c r="H55" s="69">
        <f>Inputs!E114</f>
        <v>6.3E-2</v>
      </c>
      <c r="I55" s="69">
        <f>Inputs!F114</f>
        <v>6.3E-2</v>
      </c>
      <c r="J55" s="69">
        <f>Inputs!G114</f>
        <v>6.3E-2</v>
      </c>
      <c r="K55" s="51"/>
    </row>
    <row r="56" spans="1:11" x14ac:dyDescent="0.3">
      <c r="A56" s="60" t="s">
        <v>207</v>
      </c>
      <c r="B56" s="54" t="s">
        <v>165</v>
      </c>
      <c r="D56" s="69">
        <f>D52/C39</f>
        <v>7.170386282914934E-2</v>
      </c>
      <c r="E56" s="69">
        <f>E52/D39</f>
        <v>2.9369498638854047E-2</v>
      </c>
      <c r="F56" s="69">
        <f>Inputs!C119</f>
        <v>0.03</v>
      </c>
      <c r="G56" s="69">
        <f>Inputs!D119</f>
        <v>0.03</v>
      </c>
      <c r="H56" s="69">
        <f>Inputs!E119</f>
        <v>0.03</v>
      </c>
      <c r="I56" s="69">
        <f>Inputs!F119</f>
        <v>0.03</v>
      </c>
      <c r="J56" s="69">
        <f>Inputs!G119</f>
        <v>0.03</v>
      </c>
      <c r="K56" s="51"/>
    </row>
    <row r="57" spans="1:11" x14ac:dyDescent="0.3">
      <c r="A57" s="60" t="s">
        <v>208</v>
      </c>
      <c r="B57" s="54" t="s">
        <v>156</v>
      </c>
      <c r="C57" s="64">
        <f>Hist!F11</f>
        <v>5397.6292999999996</v>
      </c>
      <c r="D57" s="64">
        <f>Hist!G11</f>
        <v>8052.1494000000002</v>
      </c>
      <c r="E57" s="64">
        <f>Hist!H11</f>
        <v>9523.6561999999994</v>
      </c>
      <c r="F57" s="62">
        <f>F58*(F25+F31+E25+E31)/2</f>
        <v>11163.177971693751</v>
      </c>
      <c r="G57" s="62">
        <f>G58*(G25+G31+F25+F31)/2</f>
        <v>13160.517167490001</v>
      </c>
      <c r="H57" s="62">
        <f>H58*(H25+H31+G25+G31)/2</f>
        <v>15494.620951967147</v>
      </c>
      <c r="I57" s="62">
        <f>I58*(I25+I31+H25+H31)/2</f>
        <v>18097.345520970834</v>
      </c>
      <c r="J57" s="62">
        <f>J58*(J25+J31+I25+I31)/2</f>
        <v>20930.577476998853</v>
      </c>
      <c r="K57" s="51"/>
    </row>
    <row r="58" spans="1:11" x14ac:dyDescent="0.3">
      <c r="A58" s="60" t="s">
        <v>209</v>
      </c>
      <c r="B58" s="54" t="s">
        <v>165</v>
      </c>
      <c r="D58" s="69">
        <f>D57/((D25+D31+C25+C31)/2)</f>
        <v>7.0450603265341416E-2</v>
      </c>
      <c r="E58" s="69">
        <f>E57/((E25+E31+D25+D31)/2)</f>
        <v>6.2974408855195452E-2</v>
      </c>
      <c r="F58" s="69">
        <f>Inputs!C124</f>
        <v>6.0999999999999999E-2</v>
      </c>
      <c r="G58" s="69">
        <f>Inputs!D124</f>
        <v>6.0499999999999998E-2</v>
      </c>
      <c r="H58" s="69">
        <f>Inputs!E124</f>
        <v>6.0499999999999998E-2</v>
      </c>
      <c r="I58" s="69">
        <f>Inputs!F124</f>
        <v>6.0499999999999998E-2</v>
      </c>
      <c r="J58" s="69">
        <f>Inputs!G124</f>
        <v>6.0499999999999998E-2</v>
      </c>
      <c r="K58" s="51"/>
    </row>
    <row r="59" spans="1:11" x14ac:dyDescent="0.3">
      <c r="A59" s="63" t="s">
        <v>210</v>
      </c>
      <c r="B59" s="54" t="s">
        <v>156</v>
      </c>
      <c r="C59" s="65">
        <f t="shared" ref="C59:J59" si="12">C53-C57</f>
        <v>5157.0838000000012</v>
      </c>
      <c r="D59" s="65">
        <f t="shared" si="12"/>
        <v>8011.5815000000002</v>
      </c>
      <c r="E59" s="65">
        <f t="shared" si="12"/>
        <v>9112.6828000000005</v>
      </c>
      <c r="F59" s="65">
        <f t="shared" si="12"/>
        <v>11149.447032162499</v>
      </c>
      <c r="G59" s="65">
        <f t="shared" si="12"/>
        <v>13277.690811530676</v>
      </c>
      <c r="H59" s="65">
        <f t="shared" si="12"/>
        <v>15541.130697535773</v>
      </c>
      <c r="I59" s="65">
        <f t="shared" si="12"/>
        <v>18173.552071217106</v>
      </c>
      <c r="J59" s="65">
        <f t="shared" si="12"/>
        <v>21055.196637072808</v>
      </c>
      <c r="K59" s="51"/>
    </row>
    <row r="60" spans="1:11" x14ac:dyDescent="0.3">
      <c r="A60" s="60" t="s">
        <v>211</v>
      </c>
      <c r="B60" s="54" t="s">
        <v>165</v>
      </c>
      <c r="D60" s="69">
        <f>D62/((D45+C45)/2)</f>
        <v>2.0095650996640638E-2</v>
      </c>
      <c r="E60" s="69">
        <f>E62/((E45+D45)/2)</f>
        <v>1.7958139033227977E-2</v>
      </c>
      <c r="F60" s="69">
        <f>Inputs!C129</f>
        <v>1.7999999999999999E-2</v>
      </c>
      <c r="G60" s="69">
        <f>Inputs!D129</f>
        <v>1.7999999999999999E-2</v>
      </c>
      <c r="H60" s="69">
        <f>Inputs!E129</f>
        <v>1.7999999999999999E-2</v>
      </c>
      <c r="I60" s="69">
        <f>Inputs!F129</f>
        <v>1.7999999999999999E-2</v>
      </c>
      <c r="J60" s="69">
        <f>Inputs!G129</f>
        <v>1.7999999999999999E-2</v>
      </c>
      <c r="K60" s="51"/>
    </row>
    <row r="61" spans="1:11" x14ac:dyDescent="0.3">
      <c r="A61" s="60" t="s">
        <v>212</v>
      </c>
      <c r="B61" s="54" t="s">
        <v>165</v>
      </c>
      <c r="D61" s="69">
        <f>D64/((D45+C45)/2)</f>
        <v>4.7386926962656284E-2</v>
      </c>
      <c r="E61" s="69">
        <f>E64/((E45+D45)/2)</f>
        <v>4.2223974096848804E-2</v>
      </c>
      <c r="F61" s="69">
        <f>Inputs!C134</f>
        <v>4.1500000000000002E-2</v>
      </c>
      <c r="G61" s="69">
        <f>Inputs!D134</f>
        <v>4.0500000000000001E-2</v>
      </c>
      <c r="H61" s="69">
        <f>Inputs!E134</f>
        <v>3.95E-2</v>
      </c>
      <c r="I61" s="69">
        <f>Inputs!F134</f>
        <v>3.8800000000000001E-2</v>
      </c>
      <c r="J61" s="69">
        <f>Inputs!G134</f>
        <v>3.8199999999999998E-2</v>
      </c>
      <c r="K61" s="51"/>
    </row>
    <row r="62" spans="1:11" x14ac:dyDescent="0.3">
      <c r="A62" s="60" t="s">
        <v>213</v>
      </c>
      <c r="B62" s="54" t="s">
        <v>156</v>
      </c>
      <c r="C62" s="64">
        <f>Hist!F13</f>
        <v>1745.8928000000001</v>
      </c>
      <c r="D62" s="64">
        <f>Hist!G13</f>
        <v>2526.3110999999999</v>
      </c>
      <c r="E62" s="64">
        <f>Hist!H13</f>
        <v>2977.9386</v>
      </c>
      <c r="F62" s="62">
        <f>F60*(F45+E45)/2</f>
        <v>3621.143952468</v>
      </c>
      <c r="G62" s="62">
        <f>G60*(G45+F45)/2</f>
        <v>4299.1505154964798</v>
      </c>
      <c r="H62" s="62">
        <f>H60*(H45+G45)/2</f>
        <v>5059.3229237246305</v>
      </c>
      <c r="I62" s="62">
        <f>I60*(I45+H45)/2</f>
        <v>5906.9348722903151</v>
      </c>
      <c r="J62" s="62">
        <f>J60*(J45+I45)/2</f>
        <v>6829.6521900330936</v>
      </c>
      <c r="K62" s="51"/>
    </row>
    <row r="63" spans="1:11" x14ac:dyDescent="0.3">
      <c r="A63" s="60" t="s">
        <v>214</v>
      </c>
      <c r="B63" s="54" t="s">
        <v>165</v>
      </c>
      <c r="D63" s="69">
        <f>D66/((D18+C18)/2)</f>
        <v>1.8899260422871541E-2</v>
      </c>
      <c r="E63" s="69">
        <f>E66/((E18+D18)/2)</f>
        <v>1.2613428061445685E-2</v>
      </c>
      <c r="F63" s="69">
        <f>Inputs!C139</f>
        <v>1.2E-2</v>
      </c>
      <c r="G63" s="69">
        <f>Inputs!D139</f>
        <v>1.2E-2</v>
      </c>
      <c r="H63" s="69">
        <f>Inputs!E139</f>
        <v>1.2E-2</v>
      </c>
      <c r="I63" s="69">
        <f>Inputs!F139</f>
        <v>1.2E-2</v>
      </c>
      <c r="J63" s="69">
        <f>Inputs!G139</f>
        <v>1.2E-2</v>
      </c>
      <c r="K63" s="51" t="s">
        <v>215</v>
      </c>
    </row>
    <row r="64" spans="1:11" x14ac:dyDescent="0.3">
      <c r="A64" s="60" t="s">
        <v>216</v>
      </c>
      <c r="B64" s="54" t="s">
        <v>156</v>
      </c>
      <c r="C64" s="64">
        <f>Hist!F17</f>
        <v>4388.0022000000008</v>
      </c>
      <c r="D64" s="64">
        <f>Hist!G17</f>
        <v>5957.2152999999998</v>
      </c>
      <c r="E64" s="64">
        <f>Hist!H17</f>
        <v>7001.8615</v>
      </c>
      <c r="F64" s="62">
        <f>F61*(F45+E45)/2</f>
        <v>8348.7485570790013</v>
      </c>
      <c r="G64" s="62">
        <f>G61*(G45+F45)/2</f>
        <v>9673.0886598670804</v>
      </c>
      <c r="H64" s="62">
        <f>H61*(H45+G45)/2</f>
        <v>11102.403082617941</v>
      </c>
      <c r="I64" s="62">
        <f>I61*(I45+H45)/2</f>
        <v>12732.726280270235</v>
      </c>
      <c r="J64" s="62">
        <f>J61*(J45+I45)/2</f>
        <v>14494.039647736899</v>
      </c>
      <c r="K64" s="51"/>
    </row>
    <row r="65" spans="1:11" x14ac:dyDescent="0.3">
      <c r="A65" s="63" t="s">
        <v>217</v>
      </c>
      <c r="B65" s="54" t="s">
        <v>156</v>
      </c>
      <c r="C65" s="65">
        <f t="shared" ref="C65:J65" si="13">C59+C62-C64</f>
        <v>2514.974400000001</v>
      </c>
      <c r="D65" s="65">
        <f t="shared" si="13"/>
        <v>4580.6772999999994</v>
      </c>
      <c r="E65" s="65">
        <f t="shared" si="13"/>
        <v>5088.7599</v>
      </c>
      <c r="F65" s="65">
        <f t="shared" si="13"/>
        <v>6421.842427551499</v>
      </c>
      <c r="G65" s="65">
        <f t="shared" si="13"/>
        <v>7903.7526671600754</v>
      </c>
      <c r="H65" s="65">
        <f t="shared" si="13"/>
        <v>9498.0505386424629</v>
      </c>
      <c r="I65" s="65">
        <f t="shared" si="13"/>
        <v>11347.760663237186</v>
      </c>
      <c r="J65" s="65">
        <f t="shared" si="13"/>
        <v>13390.809179369004</v>
      </c>
      <c r="K65" s="51"/>
    </row>
    <row r="66" spans="1:11" x14ac:dyDescent="0.3">
      <c r="A66" s="60" t="s">
        <v>218</v>
      </c>
      <c r="B66" s="54" t="s">
        <v>156</v>
      </c>
      <c r="C66" s="64">
        <f>Hist!F19</f>
        <v>438.7439</v>
      </c>
      <c r="D66" s="64">
        <f>Hist!G19</f>
        <v>1792.6232</v>
      </c>
      <c r="E66" s="64">
        <f>Hist!H19</f>
        <v>1614.7143000000001</v>
      </c>
      <c r="F66" s="62">
        <f>F63*(F18+E18)/2</f>
        <v>1851.633</v>
      </c>
      <c r="G66" s="62">
        <f>G63*(G18+F18)/2</f>
        <v>2202.1305600000001</v>
      </c>
      <c r="H66" s="62">
        <f>H63*(H18+G18)/2</f>
        <v>2592.6928159199997</v>
      </c>
      <c r="I66" s="62">
        <f>I63*(I18+H18)/2</f>
        <v>3028.2030044423996</v>
      </c>
      <c r="J66" s="62">
        <f>J63*(J18+I18)/2</f>
        <v>3502.2836651439598</v>
      </c>
      <c r="K66" s="51"/>
    </row>
    <row r="67" spans="1:11" x14ac:dyDescent="0.3">
      <c r="A67" s="60" t="s">
        <v>219</v>
      </c>
      <c r="B67" s="54" t="s">
        <v>165</v>
      </c>
      <c r="C67" s="66">
        <f>C69/C68</f>
        <v>0.23242139468711334</v>
      </c>
      <c r="D67" s="66">
        <f>D69/D68</f>
        <v>0.24466078330402563</v>
      </c>
      <c r="E67" s="66">
        <f>E69/E68</f>
        <v>0.23971801060987799</v>
      </c>
      <c r="F67" s="66">
        <f>Inputs!C144</f>
        <v>0.24</v>
      </c>
      <c r="G67" s="66">
        <f>Inputs!D144</f>
        <v>0.24</v>
      </c>
      <c r="H67" s="66">
        <f>Inputs!E144</f>
        <v>0.24</v>
      </c>
      <c r="I67" s="66">
        <f>Inputs!F144</f>
        <v>0.24</v>
      </c>
      <c r="J67" s="66">
        <f>Inputs!G144</f>
        <v>0.24</v>
      </c>
      <c r="K67" s="51"/>
    </row>
    <row r="68" spans="1:11" x14ac:dyDescent="0.3">
      <c r="A68" s="63" t="s">
        <v>220</v>
      </c>
      <c r="B68" s="54" t="s">
        <v>156</v>
      </c>
      <c r="C68" s="64">
        <f>C65-C66-Hist!F20</f>
        <v>1999.429100000001</v>
      </c>
      <c r="D68" s="64">
        <f>D65-D66-Hist!G20</f>
        <v>2788.0540999999994</v>
      </c>
      <c r="E68" s="64">
        <f>E65-E66-Hist!H20</f>
        <v>3474.0455999999999</v>
      </c>
      <c r="F68" s="65">
        <f>F65-F66</f>
        <v>4570.2094275514992</v>
      </c>
      <c r="G68" s="65">
        <f>G65-G66</f>
        <v>5701.6221071600758</v>
      </c>
      <c r="H68" s="65">
        <f>H65-H66</f>
        <v>6905.3577227224632</v>
      </c>
      <c r="I68" s="65">
        <f>I65-I66</f>
        <v>8319.5576587947871</v>
      </c>
      <c r="J68" s="65">
        <f>J65-J66</f>
        <v>9888.5255142250444</v>
      </c>
      <c r="K68" s="51" t="s">
        <v>221</v>
      </c>
    </row>
    <row r="69" spans="1:11" x14ac:dyDescent="0.3">
      <c r="A69" s="60" t="s">
        <v>222</v>
      </c>
      <c r="B69" s="54" t="s">
        <v>156</v>
      </c>
      <c r="C69" s="64">
        <f>Hist!F22</f>
        <v>464.71010000000001</v>
      </c>
      <c r="D69" s="64">
        <f>Hist!G22</f>
        <v>682.12750000000005</v>
      </c>
      <c r="E69" s="64">
        <f>Hist!H22</f>
        <v>832.79129999999998</v>
      </c>
      <c r="F69" s="62">
        <f>F68*F67</f>
        <v>1096.8502626123598</v>
      </c>
      <c r="G69" s="62">
        <f>G68*G67</f>
        <v>1368.3893057184182</v>
      </c>
      <c r="H69" s="62">
        <f>H68*H67</f>
        <v>1657.2858534533912</v>
      </c>
      <c r="I69" s="62">
        <f>I68*I67</f>
        <v>1996.6938381107489</v>
      </c>
      <c r="J69" s="62">
        <f>J68*J67</f>
        <v>2373.2461234140105</v>
      </c>
      <c r="K69" s="51"/>
    </row>
    <row r="70" spans="1:11" x14ac:dyDescent="0.3">
      <c r="A70" s="63" t="s">
        <v>223</v>
      </c>
      <c r="B70" s="54" t="s">
        <v>156</v>
      </c>
      <c r="C70" s="65">
        <f t="shared" ref="C70:J70" si="14">C68-C69</f>
        <v>1534.719000000001</v>
      </c>
      <c r="D70" s="65">
        <f t="shared" si="14"/>
        <v>2105.9265999999993</v>
      </c>
      <c r="E70" s="65">
        <f t="shared" si="14"/>
        <v>2641.2543000000001</v>
      </c>
      <c r="F70" s="65">
        <f t="shared" si="14"/>
        <v>3473.3591649391392</v>
      </c>
      <c r="G70" s="65">
        <f t="shared" si="14"/>
        <v>4333.232801441658</v>
      </c>
      <c r="H70" s="65">
        <f t="shared" si="14"/>
        <v>5248.0718692690716</v>
      </c>
      <c r="I70" s="65">
        <f t="shared" si="14"/>
        <v>6322.8638206840387</v>
      </c>
      <c r="J70" s="65">
        <f t="shared" si="14"/>
        <v>7515.2793908110343</v>
      </c>
      <c r="K70" s="51"/>
    </row>
    <row r="71" spans="1:11" x14ac:dyDescent="0.3">
      <c r="A71" s="60" t="s">
        <v>224</v>
      </c>
      <c r="B71" s="54" t="s">
        <v>165</v>
      </c>
      <c r="D71" s="66">
        <f t="shared" ref="D71:J71" si="15">D70/C70-1</f>
        <v>0.37219034885213387</v>
      </c>
      <c r="E71" s="66">
        <f t="shared" si="15"/>
        <v>0.25420055000967312</v>
      </c>
      <c r="F71" s="66">
        <f t="shared" si="15"/>
        <v>0.31504155618000862</v>
      </c>
      <c r="G71" s="66">
        <f t="shared" si="15"/>
        <v>0.24756254555597779</v>
      </c>
      <c r="H71" s="66">
        <f t="shared" si="15"/>
        <v>0.21112160591119133</v>
      </c>
      <c r="I71" s="66">
        <f t="shared" si="15"/>
        <v>0.20479749100018707</v>
      </c>
      <c r="J71" s="66">
        <f t="shared" si="15"/>
        <v>0.18858789370510176</v>
      </c>
      <c r="K71" s="51"/>
    </row>
    <row r="72" spans="1:11" x14ac:dyDescent="0.3">
      <c r="K72" s="56"/>
    </row>
    <row r="73" spans="1:11" x14ac:dyDescent="0.3">
      <c r="A73" s="57" t="s">
        <v>225</v>
      </c>
      <c r="B73" s="58"/>
      <c r="C73" s="58"/>
      <c r="D73" s="58"/>
      <c r="E73" s="58"/>
      <c r="F73" s="58"/>
      <c r="G73" s="58"/>
      <c r="H73" s="58"/>
      <c r="I73" s="58"/>
      <c r="J73" s="58"/>
      <c r="K73" s="59"/>
    </row>
    <row r="74" spans="1:11" x14ac:dyDescent="0.3">
      <c r="A74" s="60" t="s">
        <v>226</v>
      </c>
      <c r="B74" s="54" t="s">
        <v>156</v>
      </c>
      <c r="F74" s="62">
        <f>E80</f>
        <v>19973.522000000001</v>
      </c>
      <c r="G74" s="62">
        <f>F80</f>
        <v>23622.054454939138</v>
      </c>
      <c r="H74" s="62">
        <f>G80</f>
        <v>28130.060546380795</v>
      </c>
      <c r="I74" s="62">
        <f>H80</f>
        <v>33552.505705649863</v>
      </c>
      <c r="J74" s="62">
        <f>I80</f>
        <v>40011.329461333902</v>
      </c>
      <c r="K74" s="51"/>
    </row>
    <row r="75" spans="1:11" x14ac:dyDescent="0.3">
      <c r="A75" s="60" t="s">
        <v>125</v>
      </c>
      <c r="B75" s="54" t="s">
        <v>227</v>
      </c>
      <c r="C75" s="70">
        <v>1</v>
      </c>
      <c r="E75" s="70">
        <v>1</v>
      </c>
      <c r="F75" s="71">
        <f>Inputs!C149</f>
        <v>1</v>
      </c>
      <c r="G75" s="71">
        <f>Inputs!D149</f>
        <v>1</v>
      </c>
      <c r="H75" s="71">
        <f>Inputs!E149</f>
        <v>1.5</v>
      </c>
      <c r="I75" s="71">
        <f>Inputs!F149</f>
        <v>1.5</v>
      </c>
      <c r="J75" s="71">
        <f>Inputs!G149</f>
        <v>2</v>
      </c>
      <c r="K75" s="51" t="s">
        <v>228</v>
      </c>
    </row>
    <row r="76" spans="1:11" x14ac:dyDescent="0.3">
      <c r="A76" s="60" t="s">
        <v>229</v>
      </c>
      <c r="B76" s="54" t="s">
        <v>156</v>
      </c>
      <c r="F76" s="62">
        <f>IF(ISNUMBER(E75),E75,0)*E83</f>
        <v>74.826710000000006</v>
      </c>
      <c r="G76" s="62">
        <f>IF(ISNUMBER(F75),F75,0)*F83</f>
        <v>75.226710000000011</v>
      </c>
      <c r="H76" s="62">
        <f>IF(ISNUMBER(G75),G75,0)*G83</f>
        <v>75.626710000000017</v>
      </c>
      <c r="I76" s="62">
        <f>IF(ISNUMBER(H75),H75,0)*H83</f>
        <v>114.04006500000003</v>
      </c>
      <c r="J76" s="62">
        <f>IF(ISNUMBER(I75),I75,0)*I83</f>
        <v>114.64006500000005</v>
      </c>
      <c r="K76" s="51"/>
    </row>
    <row r="77" spans="1:11" x14ac:dyDescent="0.3">
      <c r="A77" s="60" t="s">
        <v>230</v>
      </c>
      <c r="B77" s="54" t="s">
        <v>156</v>
      </c>
      <c r="F77" s="62">
        <f>Inputs!C154</f>
        <v>250</v>
      </c>
      <c r="G77" s="62">
        <f>Inputs!D154</f>
        <v>250</v>
      </c>
      <c r="H77" s="62">
        <f>Inputs!E154</f>
        <v>250</v>
      </c>
      <c r="I77" s="62">
        <f>Inputs!F154</f>
        <v>250</v>
      </c>
      <c r="J77" s="62">
        <f>Inputs!G154</f>
        <v>250</v>
      </c>
      <c r="K77" s="51"/>
    </row>
    <row r="78" spans="1:11" x14ac:dyDescent="0.3">
      <c r="A78" s="60" t="s">
        <v>231</v>
      </c>
      <c r="B78" s="54" t="s">
        <v>156</v>
      </c>
      <c r="F78" s="62">
        <f>Inputs!C164</f>
        <v>0</v>
      </c>
      <c r="G78" s="62">
        <f>Inputs!D164</f>
        <v>0</v>
      </c>
      <c r="H78" s="62">
        <f>Inputs!E164</f>
        <v>0</v>
      </c>
      <c r="I78" s="62">
        <f>Inputs!F164</f>
        <v>0</v>
      </c>
      <c r="J78" s="62">
        <f>Inputs!G164</f>
        <v>0</v>
      </c>
      <c r="K78" s="51"/>
    </row>
    <row r="79" spans="1:11" x14ac:dyDescent="0.3">
      <c r="A79" s="60" t="s">
        <v>232</v>
      </c>
      <c r="B79" s="54" t="s">
        <v>156</v>
      </c>
      <c r="F79" s="62">
        <f>F70</f>
        <v>3473.3591649391392</v>
      </c>
      <c r="G79" s="62">
        <f>G70</f>
        <v>4333.232801441658</v>
      </c>
      <c r="H79" s="62">
        <f>H70</f>
        <v>5248.0718692690716</v>
      </c>
      <c r="I79" s="62">
        <f>I70</f>
        <v>6322.8638206840387</v>
      </c>
      <c r="J79" s="62">
        <f>J70</f>
        <v>7515.2793908110343</v>
      </c>
      <c r="K79" s="51"/>
    </row>
    <row r="80" spans="1:11" x14ac:dyDescent="0.3">
      <c r="A80" s="63" t="s">
        <v>233</v>
      </c>
      <c r="B80" s="54" t="s">
        <v>156</v>
      </c>
      <c r="C80" s="65">
        <f>C33</f>
        <v>12559.531500000001</v>
      </c>
      <c r="D80" s="65">
        <f>D33</f>
        <v>17166.2817</v>
      </c>
      <c r="E80" s="65">
        <f>E33</f>
        <v>19973.522000000001</v>
      </c>
      <c r="F80" s="65">
        <f>F74-F76+F77+F78+F79</f>
        <v>23622.054454939138</v>
      </c>
      <c r="G80" s="65">
        <f>G74-G76+G77+G78+G79</f>
        <v>28130.060546380795</v>
      </c>
      <c r="H80" s="65">
        <f>H74-H76+H77+H78+H79</f>
        <v>33552.505705649863</v>
      </c>
      <c r="I80" s="65">
        <f>I74-I76+I77+I78+I79</f>
        <v>40011.329461333902</v>
      </c>
      <c r="J80" s="65">
        <f>J74-J76+J77+J78+J79</f>
        <v>47661.968787144935</v>
      </c>
      <c r="K80" s="51"/>
    </row>
    <row r="81" spans="1:11" x14ac:dyDescent="0.3">
      <c r="A81" s="60" t="s">
        <v>234</v>
      </c>
      <c r="B81" s="54" t="s">
        <v>156</v>
      </c>
      <c r="C81" s="64">
        <f>Hist!F36</f>
        <v>669.16250000000002</v>
      </c>
      <c r="D81" s="64">
        <f>Hist!G36</f>
        <v>744.53049999999996</v>
      </c>
      <c r="E81" s="64">
        <f>Hist!H36</f>
        <v>748.26710000000003</v>
      </c>
      <c r="F81" s="62">
        <f>F83*10</f>
        <v>752.26710000000014</v>
      </c>
      <c r="G81" s="62">
        <f>G83*10</f>
        <v>756.26710000000014</v>
      </c>
      <c r="H81" s="62">
        <f>H83*10</f>
        <v>760.26710000000026</v>
      </c>
      <c r="I81" s="62">
        <f>I83*10</f>
        <v>764.26710000000026</v>
      </c>
      <c r="J81" s="62">
        <f>J83*10</f>
        <v>768.26710000000037</v>
      </c>
      <c r="K81" s="51"/>
    </row>
    <row r="82" spans="1:11" x14ac:dyDescent="0.3">
      <c r="A82" s="60" t="s">
        <v>235</v>
      </c>
      <c r="B82" s="54" t="s">
        <v>156</v>
      </c>
      <c r="C82" s="64">
        <f>Hist!F37+Hist!F38</f>
        <v>11890.369000000001</v>
      </c>
      <c r="D82" s="64">
        <f>Hist!G37+Hist!G38</f>
        <v>16421.751199999999</v>
      </c>
      <c r="E82" s="64">
        <f>Hist!H37+Hist!H38</f>
        <v>19225.2549</v>
      </c>
      <c r="F82" s="62">
        <f>E82+F79-F76+F77+F78-(F81-E81)</f>
        <v>22869.787354939137</v>
      </c>
      <c r="G82" s="62">
        <f>F82+G79-G76+G77+G78-(G81-F81)</f>
        <v>27373.793446380794</v>
      </c>
      <c r="H82" s="62">
        <f>G82+H79-H76+H77+H78-(H81-G81)</f>
        <v>32792.238605649865</v>
      </c>
      <c r="I82" s="62">
        <f>H82+I79-I76+I77+I78-(I81-H81)</f>
        <v>39247.062361333905</v>
      </c>
      <c r="J82" s="62">
        <f>I82+J79-J76+J77+J78-(J81-I81)</f>
        <v>46893.701687144938</v>
      </c>
      <c r="K82" s="51" t="s">
        <v>236</v>
      </c>
    </row>
    <row r="83" spans="1:11" x14ac:dyDescent="0.3">
      <c r="A83" s="60" t="s">
        <v>237</v>
      </c>
      <c r="B83" s="54" t="s">
        <v>238</v>
      </c>
      <c r="C83" s="72">
        <f>Hist!F36/10</f>
        <v>66.916250000000005</v>
      </c>
      <c r="D83" s="72">
        <f>Hist!G36/10</f>
        <v>74.45304999999999</v>
      </c>
      <c r="E83" s="72">
        <f>Hist!H36/10</f>
        <v>74.826710000000006</v>
      </c>
      <c r="F83" s="73">
        <f>E83+Inputs!C159+IF(Inputs!C164&gt;0,Inputs!C164/(Inputs!C169*E84),0)</f>
        <v>75.226710000000011</v>
      </c>
      <c r="G83" s="73">
        <f>F83+Inputs!D159+IF(Inputs!D164&gt;0,Inputs!D164/(Inputs!D169*F84),0)</f>
        <v>75.626710000000017</v>
      </c>
      <c r="H83" s="73">
        <f>G83+Inputs!E159+IF(Inputs!E164&gt;0,Inputs!E164/(Inputs!E169*G84),0)</f>
        <v>76.026710000000023</v>
      </c>
      <c r="I83" s="73">
        <f>H83+Inputs!F159+IF(Inputs!F164&gt;0,Inputs!F164/(Inputs!F169*H84),0)</f>
        <v>76.426710000000028</v>
      </c>
      <c r="J83" s="73">
        <f>I83+Inputs!G159+IF(Inputs!G164&gt;0,Inputs!G164/(Inputs!G169*I84),0)</f>
        <v>76.826710000000034</v>
      </c>
      <c r="K83" s="51"/>
    </row>
    <row r="84" spans="1:11" x14ac:dyDescent="0.3">
      <c r="A84" s="60" t="s">
        <v>239</v>
      </c>
      <c r="B84" s="54" t="s">
        <v>227</v>
      </c>
      <c r="C84" s="71">
        <f t="shared" ref="C84:J84" si="16">C80/C83</f>
        <v>187.69030691349261</v>
      </c>
      <c r="D84" s="71">
        <f t="shared" si="16"/>
        <v>230.56519108350835</v>
      </c>
      <c r="E84" s="71">
        <f t="shared" si="16"/>
        <v>266.93037820318438</v>
      </c>
      <c r="F84" s="71">
        <f t="shared" si="16"/>
        <v>314.01153200690464</v>
      </c>
      <c r="G84" s="71">
        <f t="shared" si="16"/>
        <v>371.95933217749109</v>
      </c>
      <c r="H84" s="71">
        <f t="shared" si="16"/>
        <v>441.32523563955158</v>
      </c>
      <c r="I84" s="71">
        <f t="shared" si="16"/>
        <v>523.52547246026802</v>
      </c>
      <c r="J84" s="71">
        <f t="shared" si="16"/>
        <v>620.38279118219316</v>
      </c>
      <c r="K84" s="51"/>
    </row>
    <row r="85" spans="1:11" x14ac:dyDescent="0.3">
      <c r="A85" s="60" t="s">
        <v>240</v>
      </c>
      <c r="B85" s="54" t="s">
        <v>227</v>
      </c>
      <c r="C85" s="74">
        <f>Hist!F73</f>
        <v>22.86</v>
      </c>
      <c r="D85" s="74">
        <f>Hist!G73</f>
        <v>28.24</v>
      </c>
      <c r="E85" s="74">
        <f>Hist!H73</f>
        <v>35.01</v>
      </c>
      <c r="F85" s="71">
        <f>F70/(((F83+E83)/2)*(1+Inputs!$C$10))</f>
        <v>45.784939038783484</v>
      </c>
      <c r="G85" s="71">
        <f>G70/(((G83+F83)/2)*(1+Inputs!$C$10))</f>
        <v>56.816660782394543</v>
      </c>
      <c r="H85" s="71">
        <f>H70/(((H83+G83)/2)*(1+Inputs!$C$10))</f>
        <v>68.448889953638314</v>
      </c>
      <c r="I85" s="71">
        <f>I70/(((I83+H83)/2)*(1+Inputs!$C$10))</f>
        <v>82.034304661359656</v>
      </c>
      <c r="J85" s="71">
        <f>J70/(((J83+I83)/2)*(1+Inputs!$C$10))</f>
        <v>96.995994476277488</v>
      </c>
      <c r="K85" s="51" t="s">
        <v>241</v>
      </c>
    </row>
    <row r="86" spans="1:11" x14ac:dyDescent="0.3">
      <c r="A86" s="60" t="s">
        <v>242</v>
      </c>
      <c r="B86" s="54" t="s">
        <v>165</v>
      </c>
      <c r="D86" s="69">
        <f t="shared" ref="D86:J86" si="17">D70/((D80+C80)/2)</f>
        <v>0.14169009176172845</v>
      </c>
      <c r="E86" s="69">
        <f t="shared" si="17"/>
        <v>0.14223307809244021</v>
      </c>
      <c r="F86" s="69">
        <f t="shared" si="17"/>
        <v>0.15934456875592601</v>
      </c>
      <c r="G86" s="69">
        <f t="shared" si="17"/>
        <v>0.16746109028901096</v>
      </c>
      <c r="H86" s="69">
        <f t="shared" si="17"/>
        <v>0.17016386276231818</v>
      </c>
      <c r="I86" s="69">
        <f t="shared" si="17"/>
        <v>0.17190141885157742</v>
      </c>
      <c r="J86" s="69">
        <f t="shared" si="17"/>
        <v>0.17143827233490505</v>
      </c>
      <c r="K86" s="51"/>
    </row>
    <row r="87" spans="1:11" x14ac:dyDescent="0.3">
      <c r="A87" s="60" t="s">
        <v>243</v>
      </c>
      <c r="B87" s="54" t="s">
        <v>165</v>
      </c>
      <c r="D87" s="69">
        <f t="shared" ref="D87:J87" si="18">D70/((D43+C43)/2)</f>
        <v>1.5758716446959829E-2</v>
      </c>
      <c r="E87" s="69">
        <f t="shared" si="18"/>
        <v>1.5108286369116901E-2</v>
      </c>
      <c r="F87" s="69">
        <f t="shared" si="18"/>
        <v>1.6488856946301703E-2</v>
      </c>
      <c r="G87" s="69">
        <f t="shared" si="18"/>
        <v>1.73059235986588E-2</v>
      </c>
      <c r="H87" s="69">
        <f t="shared" si="18"/>
        <v>1.7779562019860942E-2</v>
      </c>
      <c r="I87" s="69">
        <f t="shared" si="18"/>
        <v>1.8299735558940062E-2</v>
      </c>
      <c r="J87" s="69">
        <f t="shared" si="18"/>
        <v>1.8745766804845007E-2</v>
      </c>
      <c r="K87" s="51"/>
    </row>
    <row r="88" spans="1:11" x14ac:dyDescent="0.3">
      <c r="A88" s="60" t="s">
        <v>135</v>
      </c>
      <c r="B88" s="54" t="s">
        <v>165</v>
      </c>
      <c r="C88" s="75">
        <f>Hist!F61</f>
        <v>0.58199169407141094</v>
      </c>
      <c r="D88" s="75">
        <f>Hist!G61</f>
        <v>0.57063482620975492</v>
      </c>
      <c r="E88" s="75">
        <f>Hist!H61</f>
        <v>0.60602457973740065</v>
      </c>
      <c r="F88" s="66">
        <f>Inputs!C174</f>
        <v>0.61</v>
      </c>
      <c r="G88" s="66">
        <f>Inputs!D174</f>
        <v>0.61</v>
      </c>
      <c r="H88" s="66">
        <f>Inputs!E174</f>
        <v>0.61</v>
      </c>
      <c r="I88" s="66">
        <f>Inputs!F174</f>
        <v>0.61</v>
      </c>
      <c r="J88" s="66">
        <f>Inputs!G174</f>
        <v>0.61</v>
      </c>
      <c r="K88" s="51"/>
    </row>
    <row r="89" spans="1:11" x14ac:dyDescent="0.3">
      <c r="A89" s="57" t="s">
        <v>244</v>
      </c>
      <c r="B89" s="58"/>
      <c r="C89" s="58"/>
      <c r="D89" s="58"/>
      <c r="E89" s="58"/>
      <c r="F89" s="58"/>
      <c r="G89" s="58"/>
      <c r="H89" s="58"/>
      <c r="I89" s="58"/>
      <c r="J89" s="58"/>
      <c r="K89" s="59"/>
    </row>
    <row r="90" spans="1:11" x14ac:dyDescent="0.3">
      <c r="A90" s="60" t="s">
        <v>245</v>
      </c>
      <c r="B90" s="54" t="s">
        <v>156</v>
      </c>
      <c r="C90" s="64">
        <f>Hist!F57</f>
        <v>63684.830999999998</v>
      </c>
      <c r="D90" s="64">
        <f>Hist!G57</f>
        <v>90072.234299999996</v>
      </c>
      <c r="E90" s="64">
        <f>Hist!H57</f>
        <v>116233.98</v>
      </c>
      <c r="F90" s="62">
        <f>F43*F88</f>
        <v>139995.17189720037</v>
      </c>
      <c r="G90" s="62">
        <f>G43*G88</f>
        <v>165480.8107986048</v>
      </c>
      <c r="H90" s="62">
        <f>H43*H88</f>
        <v>194631.97900780823</v>
      </c>
      <c r="I90" s="62">
        <f>I43*I88</f>
        <v>226898.36695754749</v>
      </c>
      <c r="J90" s="62">
        <f>J43*J88</f>
        <v>262206.23741743842</v>
      </c>
      <c r="K90" s="51"/>
    </row>
    <row r="91" spans="1:11" x14ac:dyDescent="0.3">
      <c r="A91" s="60" t="s">
        <v>139</v>
      </c>
      <c r="B91" s="54" t="s">
        <v>165</v>
      </c>
      <c r="C91" s="66">
        <f>(C80-C92)/C80</f>
        <v>4.675025497567338E-2</v>
      </c>
      <c r="D91" s="66">
        <f>(D80-D92)/D80</f>
        <v>4.8176053175219613E-2</v>
      </c>
      <c r="E91" s="66">
        <f>(E80-E92)/E80</f>
        <v>1.9159965878826932E-2</v>
      </c>
      <c r="F91" s="66">
        <f>Inputs!C184</f>
        <v>0.02</v>
      </c>
      <c r="G91" s="66">
        <f>Inputs!D184</f>
        <v>0.02</v>
      </c>
      <c r="H91" s="66">
        <f>Inputs!E184</f>
        <v>0.02</v>
      </c>
      <c r="I91" s="66">
        <f>Inputs!F184</f>
        <v>0.02</v>
      </c>
      <c r="J91" s="66">
        <f>Inputs!G184</f>
        <v>0.02</v>
      </c>
      <c r="K91" s="51"/>
    </row>
    <row r="92" spans="1:11" x14ac:dyDescent="0.3">
      <c r="A92" s="60" t="s">
        <v>246</v>
      </c>
      <c r="B92" s="54" t="s">
        <v>156</v>
      </c>
      <c r="C92" s="64">
        <f>Hist!F55</f>
        <v>11972.370199999999</v>
      </c>
      <c r="D92" s="64">
        <f>Hist!G55</f>
        <v>16339.278</v>
      </c>
      <c r="E92" s="64">
        <f>Hist!H55</f>
        <v>19590.830000000002</v>
      </c>
      <c r="F92" s="62">
        <f>F80*(1-F91)</f>
        <v>23149.613365840356</v>
      </c>
      <c r="G92" s="62">
        <f>G80*(1-G91)</f>
        <v>27567.459335453179</v>
      </c>
      <c r="H92" s="62">
        <f>H80*(1-H91)</f>
        <v>32881.455591536862</v>
      </c>
      <c r="I92" s="62">
        <f>I80*(1-I91)</f>
        <v>39211.102872107222</v>
      </c>
      <c r="J92" s="62">
        <f>J80*(1-J91)</f>
        <v>46708.729411402033</v>
      </c>
      <c r="K92" s="51"/>
    </row>
    <row r="93" spans="1:11" x14ac:dyDescent="0.3">
      <c r="A93" s="60" t="s">
        <v>247</v>
      </c>
      <c r="B93" s="54" t="s">
        <v>156</v>
      </c>
      <c r="C93" s="64">
        <f>Hist!F56</f>
        <v>800.8048</v>
      </c>
      <c r="D93" s="64">
        <f>Hist!G56</f>
        <v>1726.2639999999999</v>
      </c>
      <c r="E93" s="64">
        <f>Hist!H56</f>
        <v>2117.7399999999998</v>
      </c>
      <c r="F93" s="62">
        <f>F92*F94</f>
        <v>2500.1582435107584</v>
      </c>
      <c r="G93" s="62">
        <f>G92*G94</f>
        <v>2977.2856082289431</v>
      </c>
      <c r="H93" s="62">
        <f>H92*H94</f>
        <v>3551.1972038859813</v>
      </c>
      <c r="I93" s="62">
        <f>I92*I94</f>
        <v>4234.7991101875796</v>
      </c>
      <c r="J93" s="62">
        <f>J92*J94</f>
        <v>5044.54277643142</v>
      </c>
      <c r="K93" s="51"/>
    </row>
    <row r="94" spans="1:11" x14ac:dyDescent="0.3">
      <c r="A94" s="60" t="s">
        <v>248</v>
      </c>
      <c r="B94" s="54" t="s">
        <v>165</v>
      </c>
      <c r="C94" s="66">
        <f>C93/C92</f>
        <v>6.6887741242749085E-2</v>
      </c>
      <c r="D94" s="66">
        <f>D93/D92</f>
        <v>0.10565117993585763</v>
      </c>
      <c r="E94" s="66">
        <f>E93/E92</f>
        <v>0.10809853385486984</v>
      </c>
      <c r="F94" s="66">
        <f>Inputs!C179</f>
        <v>0.108</v>
      </c>
      <c r="G94" s="66">
        <f>Inputs!D179</f>
        <v>0.108</v>
      </c>
      <c r="H94" s="66">
        <f>Inputs!E179</f>
        <v>0.108</v>
      </c>
      <c r="I94" s="66">
        <f>Inputs!F179</f>
        <v>0.108</v>
      </c>
      <c r="J94" s="66">
        <f>Inputs!G179</f>
        <v>0.108</v>
      </c>
      <c r="K94" s="51"/>
    </row>
    <row r="95" spans="1:11" x14ac:dyDescent="0.3">
      <c r="A95" s="60" t="s">
        <v>249</v>
      </c>
      <c r="B95" s="54" t="s">
        <v>156</v>
      </c>
      <c r="C95" s="62">
        <f t="shared" ref="C95:J95" si="19">C59+C62</f>
        <v>6902.9766000000018</v>
      </c>
      <c r="D95" s="62">
        <f t="shared" si="19"/>
        <v>10537.892599999999</v>
      </c>
      <c r="E95" s="62">
        <f t="shared" si="19"/>
        <v>12090.6214</v>
      </c>
      <c r="F95" s="62">
        <f t="shared" si="19"/>
        <v>14770.5909846305</v>
      </c>
      <c r="G95" s="62">
        <f t="shared" si="19"/>
        <v>17576.841327027156</v>
      </c>
      <c r="H95" s="62">
        <f t="shared" si="19"/>
        <v>20600.453621260403</v>
      </c>
      <c r="I95" s="62">
        <f t="shared" si="19"/>
        <v>24080.486943507422</v>
      </c>
      <c r="J95" s="62">
        <f t="shared" si="19"/>
        <v>27884.848827105903</v>
      </c>
      <c r="K95" s="51"/>
    </row>
    <row r="96" spans="1:11" x14ac:dyDescent="0.3">
      <c r="A96" s="60" t="s">
        <v>250</v>
      </c>
      <c r="B96" s="54" t="s">
        <v>251</v>
      </c>
      <c r="C96" s="76">
        <v>0</v>
      </c>
      <c r="D96" s="76">
        <v>0</v>
      </c>
      <c r="E96" s="76">
        <v>0</v>
      </c>
      <c r="F96" s="77">
        <f>IF(F5&gt;=Inputs!$C$27,1,0)</f>
        <v>0</v>
      </c>
      <c r="G96" s="77">
        <f>IF(G5&gt;=Inputs!$C$27,1,0)</f>
        <v>1</v>
      </c>
      <c r="H96" s="77">
        <f>IF(H5&gt;=Inputs!$C$27,1,0)</f>
        <v>1</v>
      </c>
      <c r="I96" s="77">
        <f>IF(I5&gt;=Inputs!$C$27,1,0)</f>
        <v>1</v>
      </c>
      <c r="J96" s="77">
        <f>IF(J5&gt;=Inputs!$C$27,1,0)</f>
        <v>1</v>
      </c>
      <c r="K96" s="51"/>
    </row>
    <row r="97" spans="1:11" x14ac:dyDescent="0.3">
      <c r="A97" s="60" t="s">
        <v>252</v>
      </c>
      <c r="B97" s="54" t="s">
        <v>156</v>
      </c>
      <c r="F97" s="62">
        <f>F96*12.5*Inputs!$C$28*AVERAGE(C95:E95)</f>
        <v>0</v>
      </c>
      <c r="G97" s="62">
        <f>G96*12.5*Inputs!$C$28*AVERAGE(D95:F95)</f>
        <v>23374.440615394058</v>
      </c>
      <c r="H97" s="62">
        <f>H96*12.5*Inputs!$C$28*AVERAGE(E95:G95)</f>
        <v>27773.783569786039</v>
      </c>
      <c r="I97" s="62">
        <f>I96*12.5*Inputs!$C$28*AVERAGE(F95:H95)</f>
        <v>33092.428708073785</v>
      </c>
      <c r="J97" s="62">
        <f>J96*12.5*Inputs!$C$28*AVERAGE(G95:I95)</f>
        <v>38911.113682371863</v>
      </c>
      <c r="K97" s="51" t="s">
        <v>253</v>
      </c>
    </row>
    <row r="98" spans="1:11" x14ac:dyDescent="0.3">
      <c r="A98" s="63" t="s">
        <v>254</v>
      </c>
      <c r="B98" s="54" t="s">
        <v>156</v>
      </c>
      <c r="C98" s="65">
        <f>C90</f>
        <v>63684.830999999998</v>
      </c>
      <c r="D98" s="65">
        <f>D90</f>
        <v>90072.234299999996</v>
      </c>
      <c r="E98" s="65">
        <f>E90</f>
        <v>116233.98</v>
      </c>
      <c r="F98" s="65">
        <f>F90+F97</f>
        <v>139995.17189720037</v>
      </c>
      <c r="G98" s="65">
        <f>G90+G97</f>
        <v>188855.25141399886</v>
      </c>
      <c r="H98" s="65">
        <f>H90+H97</f>
        <v>222405.76257759426</v>
      </c>
      <c r="I98" s="65">
        <f>I90+I97</f>
        <v>259990.79566562129</v>
      </c>
      <c r="J98" s="65">
        <f>J90+J97</f>
        <v>301117.35109981027</v>
      </c>
      <c r="K98" s="51"/>
    </row>
    <row r="99" spans="1:11" x14ac:dyDescent="0.3">
      <c r="A99" s="63" t="s">
        <v>255</v>
      </c>
      <c r="B99" s="54" t="s">
        <v>165</v>
      </c>
      <c r="C99" s="78">
        <f t="shared" ref="C99:J99" si="20">C92/C98</f>
        <v>0.18799406408097399</v>
      </c>
      <c r="D99" s="78">
        <f t="shared" si="20"/>
        <v>0.18140193953199182</v>
      </c>
      <c r="E99" s="78">
        <f t="shared" si="20"/>
        <v>0.16854649561169635</v>
      </c>
      <c r="F99" s="78">
        <f t="shared" si="20"/>
        <v>0.16536008386660156</v>
      </c>
      <c r="G99" s="78">
        <f t="shared" si="20"/>
        <v>0.14597136764294258</v>
      </c>
      <c r="H99" s="78">
        <f t="shared" si="20"/>
        <v>0.14784444076652456</v>
      </c>
      <c r="I99" s="78">
        <f t="shared" si="20"/>
        <v>0.15081727324892419</v>
      </c>
      <c r="J99" s="78">
        <f t="shared" si="20"/>
        <v>0.15511802704427902</v>
      </c>
      <c r="K99" s="51"/>
    </row>
    <row r="100" spans="1:11" x14ac:dyDescent="0.3">
      <c r="A100" s="63" t="s">
        <v>256</v>
      </c>
      <c r="B100" s="54" t="s">
        <v>165</v>
      </c>
      <c r="C100" s="78">
        <f t="shared" ref="C100:J100" si="21">(C92+C93)/C98</f>
        <v>0.20056856239439497</v>
      </c>
      <c r="D100" s="78">
        <f t="shared" si="21"/>
        <v>0.20056726848619988</v>
      </c>
      <c r="E100" s="78">
        <f t="shared" si="21"/>
        <v>0.18676612467369696</v>
      </c>
      <c r="F100" s="78">
        <f t="shared" si="21"/>
        <v>0.18321897292419453</v>
      </c>
      <c r="G100" s="78">
        <f t="shared" si="21"/>
        <v>0.16173627534838037</v>
      </c>
      <c r="H100" s="78">
        <f t="shared" si="21"/>
        <v>0.16381164036930923</v>
      </c>
      <c r="I100" s="78">
        <f t="shared" si="21"/>
        <v>0.16710553875980802</v>
      </c>
      <c r="J100" s="78">
        <f t="shared" si="21"/>
        <v>0.17187077396506117</v>
      </c>
      <c r="K100" s="51"/>
    </row>
    <row r="101" spans="1:11" x14ac:dyDescent="0.3">
      <c r="A101" s="60" t="s">
        <v>257</v>
      </c>
      <c r="B101" s="54" t="s">
        <v>165</v>
      </c>
      <c r="C101" s="66">
        <f>Inputs!$C$29</f>
        <v>0.06</v>
      </c>
      <c r="D101" s="66">
        <f>Inputs!$C$29</f>
        <v>0.06</v>
      </c>
      <c r="E101" s="66">
        <f>Inputs!$C$29</f>
        <v>0.06</v>
      </c>
      <c r="F101" s="66">
        <f>IF(F96=1,Inputs!$C$32,Inputs!$C$29)</f>
        <v>0.06</v>
      </c>
      <c r="G101" s="66">
        <f>IF(G96=1,Inputs!$C$32,Inputs!$C$29)</f>
        <v>0.08</v>
      </c>
      <c r="H101" s="66">
        <f>IF(H96=1,Inputs!$C$32,Inputs!$C$29)</f>
        <v>0.08</v>
      </c>
      <c r="I101" s="66">
        <f>IF(I96=1,Inputs!$C$32,Inputs!$C$29)</f>
        <v>0.08</v>
      </c>
      <c r="J101" s="66">
        <f>IF(J96=1,Inputs!$C$32,Inputs!$C$29)</f>
        <v>0.08</v>
      </c>
      <c r="K101" s="51"/>
    </row>
    <row r="102" spans="1:11" x14ac:dyDescent="0.3">
      <c r="A102" s="60" t="s">
        <v>258</v>
      </c>
      <c r="B102" s="54" t="s">
        <v>165</v>
      </c>
      <c r="C102" s="66">
        <f>Inputs!$C$30</f>
        <v>7.4999999999999997E-2</v>
      </c>
      <c r="D102" s="66">
        <f>Inputs!$C$30</f>
        <v>7.4999999999999997E-2</v>
      </c>
      <c r="E102" s="66">
        <f>Inputs!$C$30</f>
        <v>7.4999999999999997E-2</v>
      </c>
      <c r="F102" s="66">
        <f>IF(F96=1,Inputs!$C$33,Inputs!$C$30)</f>
        <v>7.4999999999999997E-2</v>
      </c>
      <c r="G102" s="66">
        <f>IF(G96=1,Inputs!$C$33,Inputs!$C$30)</f>
        <v>9.5000000000000001E-2</v>
      </c>
      <c r="H102" s="66">
        <f>IF(H96=1,Inputs!$C$33,Inputs!$C$30)</f>
        <v>9.5000000000000001E-2</v>
      </c>
      <c r="I102" s="66">
        <f>IF(I96=1,Inputs!$C$33,Inputs!$C$30)</f>
        <v>9.5000000000000001E-2</v>
      </c>
      <c r="J102" s="66">
        <f>IF(J96=1,Inputs!$C$33,Inputs!$C$30)</f>
        <v>9.5000000000000001E-2</v>
      </c>
      <c r="K102" s="51"/>
    </row>
    <row r="103" spans="1:11" x14ac:dyDescent="0.3">
      <c r="A103" s="60" t="s">
        <v>259</v>
      </c>
      <c r="B103" s="54" t="s">
        <v>165</v>
      </c>
      <c r="C103" s="66">
        <f>Inputs!$C$31</f>
        <v>0.15</v>
      </c>
      <c r="D103" s="66">
        <f>Inputs!$C$31</f>
        <v>0.15</v>
      </c>
      <c r="E103" s="66">
        <f>Inputs!$C$31</f>
        <v>0.15</v>
      </c>
      <c r="F103" s="66">
        <f>IF(F96=1,Inputs!$C$34,Inputs!$C$31)</f>
        <v>0.15</v>
      </c>
      <c r="G103" s="66">
        <f>IF(G96=1,Inputs!$C$34,Inputs!$C$31)</f>
        <v>0.115</v>
      </c>
      <c r="H103" s="66">
        <f>IF(H96=1,Inputs!$C$34,Inputs!$C$31)</f>
        <v>0.115</v>
      </c>
      <c r="I103" s="66">
        <f>IF(I96=1,Inputs!$C$34,Inputs!$C$31)</f>
        <v>0.115</v>
      </c>
      <c r="J103" s="66">
        <f>IF(J96=1,Inputs!$C$34,Inputs!$C$31)</f>
        <v>0.115</v>
      </c>
      <c r="K103" s="51"/>
    </row>
    <row r="104" spans="1:11" x14ac:dyDescent="0.3">
      <c r="A104" s="63" t="s">
        <v>260</v>
      </c>
      <c r="B104" s="54" t="s">
        <v>165</v>
      </c>
      <c r="C104" s="78">
        <f t="shared" ref="C104:J104" si="22">C100-C103</f>
        <v>5.0568562394394972E-2</v>
      </c>
      <c r="D104" s="78">
        <f t="shared" si="22"/>
        <v>5.0567268486199884E-2</v>
      </c>
      <c r="E104" s="78">
        <f t="shared" si="22"/>
        <v>3.676612467369697E-2</v>
      </c>
      <c r="F104" s="78">
        <f t="shared" si="22"/>
        <v>3.321897292419454E-2</v>
      </c>
      <c r="G104" s="78">
        <f t="shared" si="22"/>
        <v>4.673627534838036E-2</v>
      </c>
      <c r="H104" s="78">
        <f t="shared" si="22"/>
        <v>4.8811640369309225E-2</v>
      </c>
      <c r="I104" s="78">
        <f t="shared" si="22"/>
        <v>5.2105538759808015E-2</v>
      </c>
      <c r="J104" s="78">
        <f t="shared" si="22"/>
        <v>5.6870773965061169E-2</v>
      </c>
      <c r="K104" s="51"/>
    </row>
    <row r="105" spans="1:11" x14ac:dyDescent="0.3">
      <c r="A105" s="60" t="s">
        <v>261</v>
      </c>
      <c r="B105" s="54" t="s">
        <v>165</v>
      </c>
      <c r="C105" s="69">
        <f>C99-Inputs!$C$35</f>
        <v>6.7994064080973998E-2</v>
      </c>
      <c r="D105" s="69">
        <f>D99-Inputs!$C$35</f>
        <v>6.1401939531991828E-2</v>
      </c>
      <c r="E105" s="69">
        <f>E99-Inputs!$C$35</f>
        <v>4.8546495611696355E-2</v>
      </c>
      <c r="F105" s="69">
        <f>F99-Inputs!$C$35</f>
        <v>4.5360083866601564E-2</v>
      </c>
      <c r="G105" s="69">
        <f>G99-Inputs!$C$35</f>
        <v>2.5971367642942583E-2</v>
      </c>
      <c r="H105" s="69">
        <f>H99-Inputs!$C$35</f>
        <v>2.7844440766524564E-2</v>
      </c>
      <c r="I105" s="69">
        <f>I99-Inputs!$C$35</f>
        <v>3.0817273248924193E-2</v>
      </c>
      <c r="J105" s="69">
        <f>J99-Inputs!$C$35</f>
        <v>3.5118027044279021E-2</v>
      </c>
      <c r="K105" s="51"/>
    </row>
    <row r="106" spans="1:11" x14ac:dyDescent="0.3">
      <c r="A106" s="60" t="s">
        <v>262</v>
      </c>
      <c r="B106" s="54" t="s">
        <v>156</v>
      </c>
      <c r="C106" s="62">
        <f>MIN(C92+C93-C103*C98,C92-MAX(C102,Inputs!$C$35)*C98)</f>
        <v>3220.4503499999992</v>
      </c>
      <c r="D106" s="62">
        <f>MIN(D92+D93-D103*D98,D92-MAX(D102,Inputs!$C$35)*D98)</f>
        <v>4554.7068550000022</v>
      </c>
      <c r="E106" s="62">
        <f>MIN(E92+E93-E103*E98,E92-MAX(E102,Inputs!$C$35)*E98)</f>
        <v>4273.4730000000018</v>
      </c>
      <c r="F106" s="62">
        <f>MIN(F92+F93-F103*F98,F92-MAX(F102,Inputs!$C$35)*F98)</f>
        <v>4650.4958247710601</v>
      </c>
      <c r="G106" s="62">
        <f>MIN(G92+G93-G103*G98,G92-MAX(G102,Inputs!$C$35)*G98)</f>
        <v>4904.8291657733171</v>
      </c>
      <c r="H106" s="62">
        <f>MIN(H92+H93-H103*H98,H92-MAX(H102,Inputs!$C$35)*H98)</f>
        <v>6192.7640822255526</v>
      </c>
      <c r="I106" s="62">
        <f>MIN(I92+I93-I103*I98,I92-MAX(I102,Inputs!$C$35)*I98)</f>
        <v>8012.2073922326672</v>
      </c>
      <c r="J106" s="62">
        <f>MIN(J92+J93-J103*J98,J92-MAX(J102,Inputs!$C$35)*J98)</f>
        <v>10574.647279424804</v>
      </c>
      <c r="K106" s="51" t="s">
        <v>263</v>
      </c>
    </row>
    <row r="107" spans="1:11" x14ac:dyDescent="0.3">
      <c r="A107" s="60" t="s">
        <v>264</v>
      </c>
      <c r="B107" s="54" t="s">
        <v>165</v>
      </c>
      <c r="F107" s="66">
        <f>(F70-F76)/F74</f>
        <v>0.1701518868299311</v>
      </c>
      <c r="G107" s="66">
        <f>(G70-G76)/G74</f>
        <v>0.18025553617972256</v>
      </c>
      <c r="H107" s="66">
        <f>(H70-H76)/H74</f>
        <v>0.18387607629712538</v>
      </c>
      <c r="I107" s="66">
        <f>(I70-I76)/I74</f>
        <v>0.18504799045868406</v>
      </c>
      <c r="J107" s="66">
        <f>(J70-J76)/J74</f>
        <v>0.18496359469791812</v>
      </c>
      <c r="K107" s="51"/>
    </row>
    <row r="108" spans="1:11" x14ac:dyDescent="0.3">
      <c r="A108" s="60" t="s">
        <v>265</v>
      </c>
      <c r="B108" s="54" t="s">
        <v>165</v>
      </c>
      <c r="D108" s="66">
        <f t="shared" ref="D108:J108" si="23">D98/C98-1</f>
        <v>0.41434361818436805</v>
      </c>
      <c r="E108" s="66">
        <f t="shared" si="23"/>
        <v>0.29045294483163508</v>
      </c>
      <c r="F108" s="66">
        <f t="shared" si="23"/>
        <v>0.20442552080897847</v>
      </c>
      <c r="G108" s="66">
        <f t="shared" si="23"/>
        <v>0.34901260418235602</v>
      </c>
      <c r="H108" s="66">
        <f t="shared" si="23"/>
        <v>0.17765198961848117</v>
      </c>
      <c r="I108" s="66">
        <f t="shared" si="23"/>
        <v>0.1689930721777686</v>
      </c>
      <c r="J108" s="66">
        <f t="shared" si="23"/>
        <v>0.15818465930264147</v>
      </c>
      <c r="K108" s="51"/>
    </row>
    <row r="109" spans="1:11" x14ac:dyDescent="0.3">
      <c r="K109" s="56"/>
    </row>
    <row r="110" spans="1:11" x14ac:dyDescent="0.3">
      <c r="A110" s="57" t="s">
        <v>266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9"/>
    </row>
    <row r="111" spans="1:11" x14ac:dyDescent="0.3">
      <c r="A111" s="60" t="s">
        <v>267</v>
      </c>
      <c r="B111" s="54" t="s">
        <v>156</v>
      </c>
      <c r="C111" s="64">
        <f>Hist!F76</f>
        <v>1237.4004</v>
      </c>
      <c r="D111" s="64">
        <f>Hist!G76</f>
        <v>2477.0299</v>
      </c>
      <c r="E111" s="64">
        <f>Hist!H76</f>
        <v>2755.6406000000002</v>
      </c>
      <c r="F111" s="62">
        <f>F18*Inputs!C189</f>
        <v>3365.57</v>
      </c>
      <c r="G111" s="62">
        <f>G18*Inputs!D189</f>
        <v>3974.8652000000002</v>
      </c>
      <c r="H111" s="62">
        <f>H18*Inputs!E189</f>
        <v>4667.4441863999991</v>
      </c>
      <c r="I111" s="62">
        <f>I18*Inputs!F189</f>
        <v>5426.5658284079991</v>
      </c>
      <c r="J111" s="62">
        <f>J18*Inputs!G189</f>
        <v>6247.7130554051992</v>
      </c>
      <c r="K111" s="51"/>
    </row>
    <row r="112" spans="1:11" x14ac:dyDescent="0.3">
      <c r="A112" s="60" t="s">
        <v>268</v>
      </c>
      <c r="B112" s="54" t="s">
        <v>156</v>
      </c>
      <c r="C112" s="64">
        <f>Hist!F77</f>
        <v>400.98970000000003</v>
      </c>
      <c r="D112" s="64">
        <f>Hist!G77</f>
        <v>791.34320000000002</v>
      </c>
      <c r="E112" s="64">
        <f>Hist!H77</f>
        <v>989.89869999999996</v>
      </c>
      <c r="F112" s="62">
        <f>F111*(1-Inputs!C194)</f>
        <v>1211.6052</v>
      </c>
      <c r="G112" s="62">
        <f>G111*(1-Inputs!D194)</f>
        <v>1430.951472</v>
      </c>
      <c r="H112" s="62">
        <f>H111*(1-Inputs!E194)</f>
        <v>1680.2799071039997</v>
      </c>
      <c r="I112" s="62">
        <f>I111*(1-Inputs!F194)</f>
        <v>1953.5636982268795</v>
      </c>
      <c r="J112" s="62">
        <f>J111*(1-Inputs!G194)</f>
        <v>2249.1766999458714</v>
      </c>
      <c r="K112" s="51"/>
    </row>
    <row r="113" spans="1:11" x14ac:dyDescent="0.3">
      <c r="A113" s="60" t="s">
        <v>269</v>
      </c>
      <c r="B113" s="54" t="s">
        <v>165</v>
      </c>
      <c r="C113" s="66">
        <f t="shared" ref="C113:J113" si="24">C112/C80</f>
        <v>3.1927122440833081E-2</v>
      </c>
      <c r="D113" s="66">
        <f t="shared" si="24"/>
        <v>4.6098695910367124E-2</v>
      </c>
      <c r="E113" s="66">
        <f t="shared" si="24"/>
        <v>4.9560548209774916E-2</v>
      </c>
      <c r="F113" s="66">
        <f t="shared" si="24"/>
        <v>5.1291271142873233E-2</v>
      </c>
      <c r="G113" s="66">
        <f t="shared" si="24"/>
        <v>5.0869121651574464E-2</v>
      </c>
      <c r="H113" s="66">
        <f t="shared" si="24"/>
        <v>5.0079118437376779E-2</v>
      </c>
      <c r="I113" s="66">
        <f t="shared" si="24"/>
        <v>4.8825263357338874E-2</v>
      </c>
      <c r="J113" s="66">
        <f t="shared" si="24"/>
        <v>4.7190176091771188E-2</v>
      </c>
      <c r="K113" s="51"/>
    </row>
    <row r="114" spans="1:11" x14ac:dyDescent="0.3">
      <c r="K114" s="56"/>
    </row>
    <row r="115" spans="1:11" x14ac:dyDescent="0.3">
      <c r="A115" s="57" t="s">
        <v>270</v>
      </c>
      <c r="B115" s="58"/>
      <c r="C115" s="58"/>
      <c r="D115" s="58"/>
      <c r="E115" s="58"/>
      <c r="F115" s="58"/>
      <c r="G115" s="58"/>
      <c r="H115" s="58"/>
      <c r="I115" s="58"/>
      <c r="J115" s="58"/>
      <c r="K115" s="59"/>
    </row>
    <row r="116" spans="1:11" x14ac:dyDescent="0.3">
      <c r="A116" s="60" t="s">
        <v>271</v>
      </c>
      <c r="B116" s="54" t="s">
        <v>165</v>
      </c>
      <c r="D116" s="69">
        <f t="shared" ref="D116:J116" si="25">D59/((D46+C46)/2)</f>
        <v>6.1372917518406088E-2</v>
      </c>
      <c r="E116" s="69">
        <f t="shared" si="25"/>
        <v>5.329068888106523E-2</v>
      </c>
      <c r="F116" s="69">
        <f t="shared" si="25"/>
        <v>5.4106317618275786E-2</v>
      </c>
      <c r="G116" s="69">
        <f t="shared" si="25"/>
        <v>5.4185121918560161E-2</v>
      </c>
      <c r="H116" s="69">
        <f t="shared" si="25"/>
        <v>5.3774165132263685E-2</v>
      </c>
      <c r="I116" s="69">
        <f t="shared" si="25"/>
        <v>5.3698355303232644E-2</v>
      </c>
      <c r="J116" s="69">
        <f t="shared" si="25"/>
        <v>5.359850267230902E-2</v>
      </c>
      <c r="K116" s="51"/>
    </row>
    <row r="117" spans="1:11" x14ac:dyDescent="0.3">
      <c r="A117" s="60" t="s">
        <v>272</v>
      </c>
      <c r="B117" s="54" t="s">
        <v>165</v>
      </c>
      <c r="D117" s="69">
        <f t="shared" ref="D117:J117" si="26">D64/((D43+C43)/2)</f>
        <v>4.4578033596323237E-2</v>
      </c>
      <c r="E117" s="69">
        <f t="shared" si="26"/>
        <v>4.0051474278298159E-2</v>
      </c>
      <c r="F117" s="69">
        <f t="shared" si="26"/>
        <v>3.9633482775954305E-2</v>
      </c>
      <c r="G117" s="69">
        <f t="shared" si="26"/>
        <v>3.8632065476615594E-2</v>
      </c>
      <c r="H117" s="69">
        <f t="shared" si="26"/>
        <v>3.7613026096838378E-2</v>
      </c>
      <c r="I117" s="69">
        <f t="shared" si="26"/>
        <v>3.6851263997032306E-2</v>
      </c>
      <c r="J117" s="69">
        <f t="shared" si="26"/>
        <v>3.6153264990901726E-2</v>
      </c>
      <c r="K117" s="51" t="s">
        <v>273</v>
      </c>
    </row>
    <row r="118" spans="1:11" x14ac:dyDescent="0.3">
      <c r="A118" s="60" t="s">
        <v>274</v>
      </c>
      <c r="B118" s="54" t="s">
        <v>165</v>
      </c>
      <c r="D118" s="69">
        <f t="shared" ref="D118:J118" si="27">D66/((D43+C43)/2)</f>
        <v>1.3414257033004744E-2</v>
      </c>
      <c r="E118" s="69">
        <f t="shared" si="27"/>
        <v>9.2363563965454365E-3</v>
      </c>
      <c r="F118" s="69">
        <f t="shared" si="27"/>
        <v>8.7901395174565643E-3</v>
      </c>
      <c r="G118" s="69">
        <f t="shared" si="27"/>
        <v>8.7947970884353667E-3</v>
      </c>
      <c r="H118" s="69">
        <f t="shared" si="27"/>
        <v>8.7835959314935437E-3</v>
      </c>
      <c r="I118" s="69">
        <f t="shared" si="27"/>
        <v>8.7642745078271526E-3</v>
      </c>
      <c r="J118" s="69">
        <f t="shared" si="27"/>
        <v>8.7359350806678927E-3</v>
      </c>
      <c r="K118" s="51" t="s">
        <v>275</v>
      </c>
    </row>
    <row r="119" spans="1:11" x14ac:dyDescent="0.3">
      <c r="A119" s="60" t="s">
        <v>276</v>
      </c>
      <c r="B119" s="54" t="s">
        <v>165</v>
      </c>
      <c r="C119" s="66">
        <f t="shared" ref="C119:J119" si="28">C64/(C59+C62)</f>
        <v>0.6356681261240259</v>
      </c>
      <c r="D119" s="66">
        <f t="shared" si="28"/>
        <v>0.56531372316320627</v>
      </c>
      <c r="E119" s="66">
        <f t="shared" si="28"/>
        <v>0.57911510652380527</v>
      </c>
      <c r="F119" s="66">
        <f t="shared" si="28"/>
        <v>0.56522779391605049</v>
      </c>
      <c r="G119" s="66">
        <f t="shared" si="28"/>
        <v>0.55033145488963287</v>
      </c>
      <c r="H119" s="66">
        <f t="shared" si="28"/>
        <v>0.53893973825701902</v>
      </c>
      <c r="I119" s="66">
        <f t="shared" si="28"/>
        <v>0.52875701019423249</v>
      </c>
      <c r="J119" s="66">
        <f t="shared" si="28"/>
        <v>0.51978189796201235</v>
      </c>
      <c r="K119" s="51"/>
    </row>
    <row r="120" spans="1:11" x14ac:dyDescent="0.3">
      <c r="A120" s="60" t="s">
        <v>277</v>
      </c>
      <c r="B120" s="54" t="s">
        <v>165</v>
      </c>
      <c r="C120" s="66">
        <f>C75*C83/C70</f>
        <v>4.3601630005232206E-2</v>
      </c>
      <c r="E120" s="66">
        <f t="shared" ref="E120:J120" si="29">E75*E83/E70</f>
        <v>2.8329990792632122E-2</v>
      </c>
      <c r="F120" s="66">
        <f t="shared" si="29"/>
        <v>2.1658200729528686E-2</v>
      </c>
      <c r="G120" s="66">
        <f t="shared" si="29"/>
        <v>1.7452722589665425E-2</v>
      </c>
      <c r="H120" s="66">
        <f t="shared" si="29"/>
        <v>2.1729897730208298E-2</v>
      </c>
      <c r="I120" s="66">
        <f t="shared" si="29"/>
        <v>1.8131034963140755E-2</v>
      </c>
      <c r="J120" s="66">
        <f t="shared" si="29"/>
        <v>2.0445470089624718E-2</v>
      </c>
      <c r="K120" s="5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A326-4552-4DDC-A35A-10E8B4A9C4F1}">
  <dimension ref="A1:Q98"/>
  <sheetViews>
    <sheetView showGridLines="0" zoomScaleNormal="100" workbookViewId="0"/>
  </sheetViews>
  <sheetFormatPr defaultColWidth="8.6640625" defaultRowHeight="13.8" x14ac:dyDescent="0.3"/>
  <cols>
    <col min="1" max="1" width="52" style="50" customWidth="1"/>
    <col min="2" max="17" width="12" style="50" customWidth="1"/>
    <col min="18" max="18" width="40" style="50" customWidth="1"/>
    <col min="19" max="16384" width="8.6640625" style="50"/>
  </cols>
  <sheetData>
    <row r="1" spans="1:17" ht="18" x14ac:dyDescent="0.35">
      <c r="A1" s="49" t="s">
        <v>278</v>
      </c>
    </row>
    <row r="2" spans="1:17" x14ac:dyDescent="0.3">
      <c r="A2" s="63" t="str">
        <f>CONCATENATE("Scenario: ",Model!F1,"   |   CoE ",TEXT(Inputs!C15,"0.00%"),"   |   terminal ROE ",TEXT(Inputs!F22,"0.0%"),"   |   terminal g ",TEXT(Inputs!F23,"0.0%"))</f>
        <v>Scenario: BASE   |   CoE 13.34%   |   terminal ROE 15.0%   |   terminal g 7.0%</v>
      </c>
    </row>
    <row r="4" spans="1:17" x14ac:dyDescent="0.3">
      <c r="A4" s="63" t="s">
        <v>279</v>
      </c>
    </row>
    <row r="5" spans="1:17" x14ac:dyDescent="0.3">
      <c r="A5" s="60" t="s">
        <v>280</v>
      </c>
      <c r="B5" s="79">
        <f>Inputs!C15</f>
        <v>0.13339574535528365</v>
      </c>
    </row>
    <row r="6" spans="1:17" x14ac:dyDescent="0.3">
      <c r="A6" s="60" t="s">
        <v>281</v>
      </c>
      <c r="B6" s="79">
        <f>Inputs!F23</f>
        <v>7.0000000000000007E-2</v>
      </c>
    </row>
    <row r="7" spans="1:17" x14ac:dyDescent="0.3">
      <c r="A7" s="60" t="s">
        <v>282</v>
      </c>
      <c r="B7" s="79">
        <f>Inputs!F22</f>
        <v>0.15</v>
      </c>
    </row>
    <row r="8" spans="1:17" x14ac:dyDescent="0.3">
      <c r="A8" s="60" t="s">
        <v>283</v>
      </c>
      <c r="B8" s="64">
        <f>Model!E80</f>
        <v>19973.522000000001</v>
      </c>
    </row>
    <row r="9" spans="1:17" x14ac:dyDescent="0.3">
      <c r="A9" s="60" t="s">
        <v>284</v>
      </c>
      <c r="B9" s="80">
        <f>Inputs!C7</f>
        <v>59</v>
      </c>
    </row>
    <row r="10" spans="1:17" x14ac:dyDescent="0.3">
      <c r="A10" s="60" t="s">
        <v>285</v>
      </c>
      <c r="B10" s="72">
        <f>Inputs!C11</f>
        <v>75.66025518423308</v>
      </c>
    </row>
    <row r="11" spans="1:17" x14ac:dyDescent="0.3">
      <c r="A11" s="60" t="s">
        <v>286</v>
      </c>
      <c r="B11" s="74">
        <f>Inputs!C8</f>
        <v>984.7</v>
      </c>
    </row>
    <row r="13" spans="1:17" x14ac:dyDescent="0.3">
      <c r="A13" s="63" t="s">
        <v>287</v>
      </c>
    </row>
    <row r="14" spans="1:17" x14ac:dyDescent="0.3">
      <c r="A14" s="52" t="s">
        <v>288</v>
      </c>
      <c r="B14" s="53" t="s">
        <v>84</v>
      </c>
      <c r="C14" s="53" t="s">
        <v>79</v>
      </c>
      <c r="D14" s="53" t="s">
        <v>80</v>
      </c>
      <c r="E14" s="53" t="s">
        <v>81</v>
      </c>
      <c r="F14" s="53" t="s">
        <v>82</v>
      </c>
      <c r="G14" s="53" t="s">
        <v>83</v>
      </c>
      <c r="H14" s="53" t="s">
        <v>289</v>
      </c>
      <c r="I14" s="53" t="s">
        <v>290</v>
      </c>
      <c r="J14" s="53" t="s">
        <v>291</v>
      </c>
      <c r="K14" s="53" t="s">
        <v>292</v>
      </c>
      <c r="L14" s="53" t="s">
        <v>293</v>
      </c>
      <c r="M14" s="53" t="s">
        <v>294</v>
      </c>
      <c r="N14" s="53" t="s">
        <v>295</v>
      </c>
      <c r="O14" s="53" t="s">
        <v>296</v>
      </c>
      <c r="P14" s="53" t="s">
        <v>297</v>
      </c>
      <c r="Q14" s="53" t="s">
        <v>298</v>
      </c>
    </row>
    <row r="15" spans="1:17" x14ac:dyDescent="0.3">
      <c r="A15" s="60" t="s">
        <v>299</v>
      </c>
      <c r="C15" s="77">
        <f>B15+1</f>
        <v>1</v>
      </c>
      <c r="D15" s="77">
        <f t="shared" ref="D15:Q15" si="0">C15+1</f>
        <v>2</v>
      </c>
      <c r="E15" s="77">
        <f t="shared" si="0"/>
        <v>3</v>
      </c>
      <c r="F15" s="77">
        <f t="shared" si="0"/>
        <v>4</v>
      </c>
      <c r="G15" s="77">
        <f t="shared" si="0"/>
        <v>5</v>
      </c>
      <c r="H15" s="77">
        <f t="shared" si="0"/>
        <v>6</v>
      </c>
      <c r="I15" s="77">
        <f t="shared" si="0"/>
        <v>7</v>
      </c>
      <c r="J15" s="77">
        <f t="shared" si="0"/>
        <v>8</v>
      </c>
      <c r="K15" s="77">
        <f t="shared" si="0"/>
        <v>9</v>
      </c>
      <c r="L15" s="77">
        <f t="shared" si="0"/>
        <v>10</v>
      </c>
      <c r="M15" s="77">
        <f t="shared" si="0"/>
        <v>11</v>
      </c>
      <c r="N15" s="77">
        <f t="shared" si="0"/>
        <v>12</v>
      </c>
      <c r="O15" s="77">
        <f t="shared" si="0"/>
        <v>13</v>
      </c>
      <c r="P15" s="77">
        <f t="shared" si="0"/>
        <v>14</v>
      </c>
      <c r="Q15" s="77">
        <f t="shared" si="0"/>
        <v>15</v>
      </c>
    </row>
    <row r="16" spans="1:17" x14ac:dyDescent="0.3">
      <c r="A16" s="60" t="s">
        <v>300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f>IF(H15&gt;5,H15-5,0)</f>
        <v>1</v>
      </c>
      <c r="I16" s="77">
        <f>IF(I15&gt;5,I15-5,0)</f>
        <v>2</v>
      </c>
      <c r="J16" s="77">
        <f>IF(J15&gt;5,J15-5,0)</f>
        <v>3</v>
      </c>
      <c r="K16" s="77">
        <f t="shared" ref="K16:Q16" si="1">IF(K15&gt;5,K15-5,0)</f>
        <v>4</v>
      </c>
      <c r="L16" s="77">
        <f t="shared" si="1"/>
        <v>5</v>
      </c>
      <c r="M16" s="77">
        <f t="shared" si="1"/>
        <v>6</v>
      </c>
      <c r="N16" s="77">
        <f t="shared" si="1"/>
        <v>7</v>
      </c>
      <c r="O16" s="77">
        <f t="shared" si="1"/>
        <v>8</v>
      </c>
      <c r="P16" s="77">
        <f t="shared" si="1"/>
        <v>9</v>
      </c>
      <c r="Q16" s="77">
        <f t="shared" si="1"/>
        <v>10</v>
      </c>
    </row>
    <row r="17" spans="1:17" x14ac:dyDescent="0.3">
      <c r="A17" s="60" t="s">
        <v>301</v>
      </c>
      <c r="C17" s="64">
        <f>Model!F74</f>
        <v>19973.522000000001</v>
      </c>
      <c r="D17" s="64">
        <f>Model!G74</f>
        <v>23622.054454939138</v>
      </c>
      <c r="E17" s="64">
        <f>Model!H74</f>
        <v>28130.060546380795</v>
      </c>
      <c r="F17" s="64">
        <f>Model!I74</f>
        <v>33552.505705649863</v>
      </c>
      <c r="G17" s="64">
        <f>Model!J74</f>
        <v>40011.329461333902</v>
      </c>
      <c r="H17" s="62">
        <f t="shared" ref="H17:Q17" si="2">G20</f>
        <v>47661.968787144935</v>
      </c>
      <c r="I17" s="62">
        <f t="shared" si="2"/>
        <v>56197.781398798652</v>
      </c>
      <c r="J17" s="62">
        <f t="shared" si="2"/>
        <v>65581.094610842949</v>
      </c>
      <c r="K17" s="62">
        <f t="shared" si="2"/>
        <v>75736.214146557701</v>
      </c>
      <c r="L17" s="62">
        <f t="shared" si="2"/>
        <v>86545.823976668529</v>
      </c>
      <c r="M17" s="62">
        <f t="shared" si="2"/>
        <v>97849.220288943689</v>
      </c>
      <c r="N17" s="62">
        <f t="shared" si="2"/>
        <v>109442.85873444824</v>
      </c>
      <c r="O17" s="62">
        <f t="shared" si="2"/>
        <v>121083.58943702797</v>
      </c>
      <c r="P17" s="62">
        <f t="shared" si="2"/>
        <v>132494.79326755626</v>
      </c>
      <c r="Q17" s="62">
        <f t="shared" si="2"/>
        <v>143375.4223653946</v>
      </c>
    </row>
    <row r="18" spans="1:17" x14ac:dyDescent="0.3">
      <c r="A18" s="60" t="s">
        <v>302</v>
      </c>
      <c r="C18" s="69">
        <f>C19/C17</f>
        <v>0.17389818205017318</v>
      </c>
      <c r="D18" s="69">
        <f>D19/D17</f>
        <v>0.18344013259759553</v>
      </c>
      <c r="E18" s="69">
        <f>E19/E17</f>
        <v>0.18656454224888921</v>
      </c>
      <c r="F18" s="69">
        <f>F19/F17</f>
        <v>0.18844684436248646</v>
      </c>
      <c r="G18" s="69">
        <f>G19/G17</f>
        <v>0.18782878479640724</v>
      </c>
      <c r="H18" s="69">
        <f>$G$18+($B$7-$G$18)*H16/Inputs!$C$24</f>
        <v>0.18404590631676651</v>
      </c>
      <c r="I18" s="69">
        <f>$G$18+($B$7-$G$18)*I16/Inputs!$C$24</f>
        <v>0.18026302783712581</v>
      </c>
      <c r="J18" s="69">
        <f>$G$18+($B$7-$G$18)*J16/Inputs!$C$24</f>
        <v>0.17648014935748507</v>
      </c>
      <c r="K18" s="69">
        <f>$G$18+($B$7-$G$18)*K16/Inputs!$C$24</f>
        <v>0.17269727087784434</v>
      </c>
      <c r="L18" s="69">
        <f>$G$18+($B$7-$G$18)*L16/Inputs!$C$24</f>
        <v>0.16891439239820361</v>
      </c>
      <c r="M18" s="69">
        <f>$G$18+($B$7-$G$18)*M16/Inputs!$C$24</f>
        <v>0.1651315139185629</v>
      </c>
      <c r="N18" s="69">
        <f>$G$18+($B$7-$G$18)*N16/Inputs!$C$24</f>
        <v>0.16134863543892217</v>
      </c>
      <c r="O18" s="69">
        <f>$G$18+($B$7-$G$18)*O16/Inputs!$C$24</f>
        <v>0.15756575695928143</v>
      </c>
      <c r="P18" s="69">
        <f>$G$18+($B$7-$G$18)*P16/Inputs!$C$24</f>
        <v>0.15378287847964073</v>
      </c>
      <c r="Q18" s="69">
        <f>$G$18+($B$7-$G$18)*Q16/Inputs!$C$24</f>
        <v>0.15</v>
      </c>
    </row>
    <row r="19" spans="1:17" x14ac:dyDescent="0.3">
      <c r="A19" s="60" t="s">
        <v>303</v>
      </c>
      <c r="C19" s="64">
        <f>Model!F70</f>
        <v>3473.3591649391392</v>
      </c>
      <c r="D19" s="64">
        <f>Model!G70</f>
        <v>4333.232801441658</v>
      </c>
      <c r="E19" s="64">
        <f>Model!H70</f>
        <v>5248.0718692690716</v>
      </c>
      <c r="F19" s="64">
        <f>Model!I70</f>
        <v>6322.8638206840387</v>
      </c>
      <c r="G19" s="64">
        <f>Model!J70</f>
        <v>7515.2793908110343</v>
      </c>
      <c r="H19" s="62">
        <f t="shared" ref="H19:Q19" si="3">H18*H17</f>
        <v>8771.9902422715259</v>
      </c>
      <c r="I19" s="62">
        <f t="shared" si="3"/>
        <v>10130.382232676353</v>
      </c>
      <c r="J19" s="62">
        <f t="shared" si="3"/>
        <v>11573.761371948924</v>
      </c>
      <c r="K19" s="62">
        <f t="shared" si="3"/>
        <v>13079.437489730502</v>
      </c>
      <c r="L19" s="62">
        <f t="shared" si="3"/>
        <v>14618.835271620846</v>
      </c>
      <c r="M19" s="62">
        <f t="shared" si="3"/>
        <v>16157.989882064232</v>
      </c>
      <c r="N19" s="62">
        <f t="shared" si="3"/>
        <v>17658.455915337949</v>
      </c>
      <c r="O19" s="62">
        <f t="shared" si="3"/>
        <v>19078.627424992166</v>
      </c>
      <c r="P19" s="62">
        <f t="shared" si="3"/>
        <v>20375.430692249724</v>
      </c>
      <c r="Q19" s="62">
        <f t="shared" si="3"/>
        <v>21506.31335480919</v>
      </c>
    </row>
    <row r="20" spans="1:17" x14ac:dyDescent="0.3">
      <c r="A20" s="60" t="s">
        <v>304</v>
      </c>
      <c r="B20" s="64">
        <f>Model!E80</f>
        <v>19973.522000000001</v>
      </c>
      <c r="C20" s="64">
        <f>Model!F80</f>
        <v>23622.054454939138</v>
      </c>
      <c r="D20" s="64">
        <f>Model!G80</f>
        <v>28130.060546380795</v>
      </c>
      <c r="E20" s="64">
        <f>Model!H80</f>
        <v>33552.505705649863</v>
      </c>
      <c r="F20" s="64">
        <f>Model!I80</f>
        <v>40011.329461333902</v>
      </c>
      <c r="G20" s="64">
        <f>Model!J80</f>
        <v>47661.968787144935</v>
      </c>
      <c r="H20" s="62">
        <f t="shared" ref="H20:Q20" si="4">H17*(1+H21)</f>
        <v>56197.781398798652</v>
      </c>
      <c r="I20" s="62">
        <f t="shared" si="4"/>
        <v>65581.094610842949</v>
      </c>
      <c r="J20" s="62">
        <f t="shared" si="4"/>
        <v>75736.214146557701</v>
      </c>
      <c r="K20" s="62">
        <f t="shared" si="4"/>
        <v>86545.823976668529</v>
      </c>
      <c r="L20" s="62">
        <f t="shared" si="4"/>
        <v>97849.220288943689</v>
      </c>
      <c r="M20" s="62">
        <f t="shared" si="4"/>
        <v>109442.85873444824</v>
      </c>
      <c r="N20" s="62">
        <f t="shared" si="4"/>
        <v>121083.58943702797</v>
      </c>
      <c r="O20" s="62">
        <f t="shared" si="4"/>
        <v>132494.79326755626</v>
      </c>
      <c r="P20" s="62">
        <f t="shared" si="4"/>
        <v>143375.4223653946</v>
      </c>
      <c r="Q20" s="62">
        <f t="shared" si="4"/>
        <v>153411.70193097222</v>
      </c>
    </row>
    <row r="21" spans="1:17" x14ac:dyDescent="0.3">
      <c r="A21" s="60" t="s">
        <v>305</v>
      </c>
      <c r="C21" s="66">
        <f>C20/C17-1</f>
        <v>0.18266845751786476</v>
      </c>
      <c r="D21" s="66">
        <f>D20/D17-1</f>
        <v>0.1908388662823981</v>
      </c>
      <c r="E21" s="66">
        <f>E20/E17-1</f>
        <v>0.19276336609118028</v>
      </c>
      <c r="F21" s="66">
        <f>F20/F17-1</f>
        <v>0.19249899880343202</v>
      </c>
      <c r="G21" s="66">
        <f>G20/G17-1</f>
        <v>0.19121182497083611</v>
      </c>
      <c r="H21" s="66">
        <f>$G$21+($B$6-$G$21)*H16/Inputs!$C$24</f>
        <v>0.1790906424737525</v>
      </c>
      <c r="I21" s="66">
        <f>$G$21+($B$6-$G$21)*I16/Inputs!$C$24</f>
        <v>0.1669694599766689</v>
      </c>
      <c r="J21" s="66">
        <f>$G$21+($B$6-$G$21)*J16/Inputs!$C$24</f>
        <v>0.15484827747958529</v>
      </c>
      <c r="K21" s="66">
        <f>$G$21+($B$6-$G$21)*K16/Inputs!$C$24</f>
        <v>0.14272709498250166</v>
      </c>
      <c r="L21" s="66">
        <f>$G$21+($B$6-$G$21)*L16/Inputs!$C$24</f>
        <v>0.13060591248541806</v>
      </c>
      <c r="M21" s="66">
        <f>$G$21+($B$6-$G$21)*M16/Inputs!$C$24</f>
        <v>0.11848472998833445</v>
      </c>
      <c r="N21" s="66">
        <f>$G$21+($B$6-$G$21)*N16/Inputs!$C$24</f>
        <v>0.10636354749125083</v>
      </c>
      <c r="O21" s="66">
        <f>$G$21+($B$6-$G$21)*O16/Inputs!$C$24</f>
        <v>9.424236499416723E-2</v>
      </c>
      <c r="P21" s="66">
        <f>$G$21+($B$6-$G$21)*P16/Inputs!$C$24</f>
        <v>8.2121182497083625E-2</v>
      </c>
      <c r="Q21" s="66">
        <f>$G$21+($B$6-$G$21)*Q16/Inputs!$C$24</f>
        <v>7.0000000000000021E-2</v>
      </c>
    </row>
    <row r="22" spans="1:17" x14ac:dyDescent="0.3">
      <c r="A22" s="60" t="s">
        <v>306</v>
      </c>
      <c r="C22" s="62">
        <f t="shared" ref="C22:Q22" si="5">C19-$B$5*C17</f>
        <v>808.97631037898327</v>
      </c>
      <c r="D22" s="62">
        <f t="shared" si="5"/>
        <v>1182.1512406019533</v>
      </c>
      <c r="E22" s="62">
        <f t="shared" si="5"/>
        <v>1495.641475795348</v>
      </c>
      <c r="F22" s="62">
        <f t="shared" si="5"/>
        <v>1847.102313541468</v>
      </c>
      <c r="G22" s="62">
        <f t="shared" si="5"/>
        <v>2177.9382746605788</v>
      </c>
      <c r="H22" s="62">
        <f t="shared" si="5"/>
        <v>2414.0863908100628</v>
      </c>
      <c r="I22" s="62">
        <f t="shared" si="5"/>
        <v>2633.8372956703124</v>
      </c>
      <c r="J22" s="62">
        <f t="shared" si="5"/>
        <v>2825.5223751201538</v>
      </c>
      <c r="K22" s="62">
        <f t="shared" si="5"/>
        <v>2976.5487532630614</v>
      </c>
      <c r="L22" s="62">
        <f t="shared" si="5"/>
        <v>3073.9905748659694</v>
      </c>
      <c r="M22" s="62">
        <f t="shared" si="5"/>
        <v>3105.3202091872463</v>
      </c>
      <c r="N22" s="62">
        <f t="shared" si="5"/>
        <v>3059.244200643212</v>
      </c>
      <c r="O22" s="62">
        <f t="shared" si="5"/>
        <v>2926.5917617466712</v>
      </c>
      <c r="P22" s="62">
        <f t="shared" si="5"/>
        <v>2701.1889886298377</v>
      </c>
      <c r="Q22" s="62">
        <f t="shared" si="5"/>
        <v>2380.6420227487724</v>
      </c>
    </row>
    <row r="23" spans="1:17" x14ac:dyDescent="0.3">
      <c r="A23" s="60" t="s">
        <v>307</v>
      </c>
      <c r="C23" s="81">
        <f t="shared" ref="C23:Q23" si="6">1/(1+$B$5)^C15</f>
        <v>0.88230435317765521</v>
      </c>
      <c r="D23" s="81">
        <f t="shared" si="6"/>
        <v>0.77846097163624062</v>
      </c>
      <c r="E23" s="81">
        <f t="shared" si="6"/>
        <v>0.68683950405356231</v>
      </c>
      <c r="F23" s="81">
        <f t="shared" si="6"/>
        <v>0.60600148436083978</v>
      </c>
      <c r="G23" s="81">
        <f t="shared" si="6"/>
        <v>0.5346777476836897</v>
      </c>
      <c r="H23" s="81">
        <f t="shared" si="6"/>
        <v>0.47174850432854343</v>
      </c>
      <c r="I23" s="81">
        <f t="shared" si="6"/>
        <v>0.41622575897412178</v>
      </c>
      <c r="J23" s="81">
        <f t="shared" si="6"/>
        <v>0.36723779904754111</v>
      </c>
      <c r="K23" s="81">
        <f t="shared" si="6"/>
        <v>0.32401550875102647</v>
      </c>
      <c r="L23" s="81">
        <f t="shared" si="6"/>
        <v>0.28588029386810332</v>
      </c>
      <c r="M23" s="81">
        <f t="shared" si="6"/>
        <v>0.25223342776753488</v>
      </c>
      <c r="N23" s="81">
        <f t="shared" si="6"/>
        <v>0.2225466513362177</v>
      </c>
      <c r="O23" s="81">
        <f t="shared" si="6"/>
        <v>0.19635387925905473</v>
      </c>
      <c r="P23" s="81">
        <f t="shared" si="6"/>
        <v>0.17324388243358371</v>
      </c>
      <c r="Q23" s="81">
        <f t="shared" si="6"/>
        <v>0.15285383163254881</v>
      </c>
    </row>
    <row r="24" spans="1:17" x14ac:dyDescent="0.3">
      <c r="A24" s="60" t="s">
        <v>308</v>
      </c>
      <c r="C24" s="62">
        <f t="shared" ref="C24:Q24" si="7">C22*C23</f>
        <v>713.76332026497482</v>
      </c>
      <c r="D24" s="62">
        <f t="shared" si="7"/>
        <v>920.25860337998381</v>
      </c>
      <c r="E24" s="62">
        <f t="shared" si="7"/>
        <v>1027.2656494772148</v>
      </c>
      <c r="F24" s="62">
        <f t="shared" si="7"/>
        <v>1119.346743772471</v>
      </c>
      <c r="G24" s="62">
        <f t="shared" si="7"/>
        <v>1164.4951312896194</v>
      </c>
      <c r="H24" s="62">
        <f t="shared" si="7"/>
        <v>1138.8416441845386</v>
      </c>
      <c r="I24" s="62">
        <f t="shared" si="7"/>
        <v>1096.2709274047243</v>
      </c>
      <c r="J24" s="62">
        <f t="shared" si="7"/>
        <v>1037.6386181987061</v>
      </c>
      <c r="K24" s="62">
        <f t="shared" si="7"/>
        <v>964.44795861076443</v>
      </c>
      <c r="L24" s="62">
        <f t="shared" si="7"/>
        <v>878.79332889046316</v>
      </c>
      <c r="M24" s="62">
        <f t="shared" si="7"/>
        <v>783.26556067909758</v>
      </c>
      <c r="N24" s="62">
        <f t="shared" si="7"/>
        <v>680.8245524728909</v>
      </c>
      <c r="O24" s="62">
        <f t="shared" si="7"/>
        <v>574.64764542655018</v>
      </c>
      <c r="P24" s="62">
        <f t="shared" si="7"/>
        <v>467.96446757707849</v>
      </c>
      <c r="Q24" s="62">
        <f t="shared" si="7"/>
        <v>363.89025492261129</v>
      </c>
    </row>
    <row r="25" spans="1:17" x14ac:dyDescent="0.3">
      <c r="A25" s="60" t="s">
        <v>309</v>
      </c>
      <c r="H25" s="66">
        <f>1-H21/H18</f>
        <v>2.6924064447732765E-2</v>
      </c>
      <c r="I25" s="66">
        <f t="shared" ref="I25:Q25" si="8">1-I21/I18</f>
        <v>7.374539316219697E-2</v>
      </c>
      <c r="J25" s="66">
        <f t="shared" si="8"/>
        <v>0.12257396628830708</v>
      </c>
      <c r="K25" s="66">
        <f t="shared" si="8"/>
        <v>0.17354168796646341</v>
      </c>
      <c r="L25" s="66">
        <f t="shared" si="8"/>
        <v>0.22679227843697325</v>
      </c>
      <c r="M25" s="66">
        <f t="shared" si="8"/>
        <v>0.28248262747250663</v>
      </c>
      <c r="N25" s="66">
        <f t="shared" si="8"/>
        <v>0.34078433820089971</v>
      </c>
      <c r="O25" s="66">
        <f t="shared" si="8"/>
        <v>0.40188549331488566</v>
      </c>
      <c r="P25" s="66">
        <f t="shared" si="8"/>
        <v>0.46599268196195442</v>
      </c>
      <c r="Q25" s="66">
        <f t="shared" si="8"/>
        <v>0.53333333333333321</v>
      </c>
    </row>
    <row r="26" spans="1:17" x14ac:dyDescent="0.3">
      <c r="A26" s="51" t="s">
        <v>310</v>
      </c>
    </row>
    <row r="28" spans="1:17" x14ac:dyDescent="0.3">
      <c r="A28" s="63" t="s">
        <v>311</v>
      </c>
    </row>
    <row r="29" spans="1:17" x14ac:dyDescent="0.3">
      <c r="A29" s="60" t="s">
        <v>312</v>
      </c>
      <c r="B29" s="62">
        <f>$B$8</f>
        <v>19973.522000000001</v>
      </c>
    </row>
    <row r="30" spans="1:17" x14ac:dyDescent="0.3">
      <c r="A30" s="60" t="s">
        <v>313</v>
      </c>
      <c r="B30" s="62">
        <f>SUM(C24:G24)</f>
        <v>4945.1294481842633</v>
      </c>
    </row>
    <row r="31" spans="1:17" x14ac:dyDescent="0.3">
      <c r="A31" s="60" t="s">
        <v>314</v>
      </c>
      <c r="B31" s="62">
        <f>SUM(H24:Q24)</f>
        <v>7986.5849583674262</v>
      </c>
    </row>
    <row r="32" spans="1:17" x14ac:dyDescent="0.3">
      <c r="A32" s="60" t="s">
        <v>315</v>
      </c>
      <c r="B32" s="62">
        <f>($B$7-$B$5)*Q20/($B$5-$B$6)</f>
        <v>40180.724275195935</v>
      </c>
    </row>
    <row r="33" spans="1:5" x14ac:dyDescent="0.3">
      <c r="A33" s="60" t="s">
        <v>316</v>
      </c>
      <c r="B33" s="62">
        <f>B32*Q23</f>
        <v>6141.7776632346668</v>
      </c>
    </row>
    <row r="34" spans="1:5" x14ac:dyDescent="0.3">
      <c r="A34" s="63" t="s">
        <v>317</v>
      </c>
      <c r="B34" s="62">
        <f>B29+B30+B31+B33</f>
        <v>39047.014069786354</v>
      </c>
    </row>
    <row r="35" spans="1:5" x14ac:dyDescent="0.3">
      <c r="A35" s="60" t="s">
        <v>318</v>
      </c>
      <c r="B35" s="62">
        <f>B34*(1+$B$5)^($B$9/365)</f>
        <v>39845.407780768342</v>
      </c>
    </row>
    <row r="36" spans="1:5" x14ac:dyDescent="0.3">
      <c r="A36" s="63" t="s">
        <v>319</v>
      </c>
      <c r="B36" s="82">
        <f>B35/$B$10</f>
        <v>526.63591582852303</v>
      </c>
    </row>
    <row r="37" spans="1:5" x14ac:dyDescent="0.3">
      <c r="A37" s="60" t="s">
        <v>320</v>
      </c>
      <c r="B37" s="66">
        <f>B36/$B$11-1</f>
        <v>-0.46518135896362034</v>
      </c>
    </row>
    <row r="38" spans="1:5" x14ac:dyDescent="0.3">
      <c r="A38" s="60" t="s">
        <v>321</v>
      </c>
      <c r="B38" s="83">
        <f>B35/$B$8</f>
        <v>1.9949114523101303</v>
      </c>
    </row>
    <row r="39" spans="1:5" x14ac:dyDescent="0.3">
      <c r="A39" s="60" t="s">
        <v>322</v>
      </c>
      <c r="B39" s="84">
        <f>B36/Model!F85</f>
        <v>11.502383248395734</v>
      </c>
    </row>
    <row r="40" spans="1:5" x14ac:dyDescent="0.3">
      <c r="A40" s="60" t="s">
        <v>323</v>
      </c>
      <c r="B40" s="66">
        <f>B33/B34</f>
        <v>0.1572918649364031</v>
      </c>
    </row>
    <row r="42" spans="1:5" x14ac:dyDescent="0.3">
      <c r="A42" s="63" t="s">
        <v>324</v>
      </c>
    </row>
    <row r="43" spans="1:5" x14ac:dyDescent="0.3">
      <c r="A43" s="52" t="s">
        <v>325</v>
      </c>
      <c r="B43" s="53" t="s">
        <v>326</v>
      </c>
      <c r="C43" s="53" t="s">
        <v>327</v>
      </c>
      <c r="D43" s="53" t="s">
        <v>328</v>
      </c>
      <c r="E43" s="53" t="s">
        <v>329</v>
      </c>
    </row>
    <row r="44" spans="1:5" x14ac:dyDescent="0.3">
      <c r="A44" s="60" t="s">
        <v>330</v>
      </c>
      <c r="B44" s="69">
        <f>Hist!H52</f>
        <v>0.14199999999999999</v>
      </c>
      <c r="C44" s="83">
        <f>(B44-$B$6)/($B$5-$B$6)</f>
        <v>1.1357229037452943</v>
      </c>
      <c r="D44" s="71">
        <f>C44*$B$8/$B$10*(1+$B$5)^($B$9/365)</f>
        <v>305.94945332962163</v>
      </c>
      <c r="E44" s="66">
        <f>D44/$B$11-1</f>
        <v>-0.68929678751942558</v>
      </c>
    </row>
    <row r="45" spans="1:5" x14ac:dyDescent="0.3">
      <c r="A45" s="60" t="s">
        <v>331</v>
      </c>
      <c r="B45" s="69">
        <f>AVERAGE(Model!F86:J86)</f>
        <v>0.16806184259874751</v>
      </c>
      <c r="C45" s="83">
        <f>(B45-$B$6)/($B$5-$B$6)</f>
        <v>1.5468205642064379</v>
      </c>
      <c r="D45" s="71">
        <f>C45*$B$8/$B$10*(1+$B$5)^($B$9/365)</f>
        <v>416.6939879941973</v>
      </c>
      <c r="E45" s="66">
        <f>D45/$B$11-1</f>
        <v>-0.57683153448339874</v>
      </c>
    </row>
    <row r="46" spans="1:5" x14ac:dyDescent="0.3">
      <c r="A46" s="60" t="s">
        <v>332</v>
      </c>
      <c r="B46" s="69">
        <f>$B$7</f>
        <v>0.15</v>
      </c>
      <c r="C46" s="83">
        <f>(B46-$B$6)/($B$5-$B$6)</f>
        <v>1.2619143374947714</v>
      </c>
      <c r="D46" s="71">
        <f>C46*$B$8/$B$10*(1+$B$5)^($B$9/365)</f>
        <v>339.94383703291294</v>
      </c>
      <c r="E46" s="66">
        <f>D46/$B$11-1</f>
        <v>-0.65477420835491729</v>
      </c>
    </row>
    <row r="48" spans="1:5" x14ac:dyDescent="0.3">
      <c r="A48" s="63" t="s">
        <v>333</v>
      </c>
    </row>
    <row r="49" spans="1:4" x14ac:dyDescent="0.3">
      <c r="A49" s="60" t="s">
        <v>334</v>
      </c>
      <c r="B49" s="83">
        <f>$B$11*$B$10/$B$8</f>
        <v>3.7300709048666687</v>
      </c>
    </row>
    <row r="50" spans="1:4" x14ac:dyDescent="0.3">
      <c r="A50" s="60" t="s">
        <v>335</v>
      </c>
      <c r="B50" s="69">
        <f>$B$6+B49*($B$5-$B$6)</f>
        <v>0.3064706252420798</v>
      </c>
    </row>
    <row r="51" spans="1:4" x14ac:dyDescent="0.3">
      <c r="A51" s="60" t="s">
        <v>336</v>
      </c>
      <c r="B51" s="69">
        <f>$B$6+(B45-$B$6)/B49</f>
        <v>9.62895384832511E-2</v>
      </c>
    </row>
    <row r="52" spans="1:4" x14ac:dyDescent="0.3">
      <c r="A52" s="60" t="s">
        <v>337</v>
      </c>
      <c r="B52" s="84">
        <f>$B$11/Hist!H73</f>
        <v>28.126249642959156</v>
      </c>
    </row>
    <row r="53" spans="1:4" x14ac:dyDescent="0.3">
      <c r="A53" s="60" t="s">
        <v>338</v>
      </c>
      <c r="B53" s="84">
        <f>$B$11/Model!F85</f>
        <v>21.507072427591982</v>
      </c>
    </row>
    <row r="55" spans="1:4" x14ac:dyDescent="0.3">
      <c r="A55" s="63" t="s">
        <v>339</v>
      </c>
    </row>
    <row r="56" spans="1:4" x14ac:dyDescent="0.3">
      <c r="A56" s="52" t="s">
        <v>340</v>
      </c>
      <c r="B56" s="53" t="s">
        <v>327</v>
      </c>
      <c r="C56" s="53" t="s">
        <v>328</v>
      </c>
      <c r="D56" s="53" t="s">
        <v>329</v>
      </c>
    </row>
    <row r="57" spans="1:4" x14ac:dyDescent="0.3">
      <c r="A57" s="60" t="s">
        <v>341</v>
      </c>
      <c r="B57" s="85">
        <f>Peers!I20</f>
        <v>0.85382250877805366</v>
      </c>
      <c r="C57" s="71">
        <f>B57*Model!E84</f>
        <v>227.91116518651756</v>
      </c>
      <c r="D57" s="66">
        <f>C57/$B$11-1</f>
        <v>-0.76854761329692534</v>
      </c>
    </row>
    <row r="58" spans="1:4" x14ac:dyDescent="0.3">
      <c r="A58" s="60" t="s">
        <v>342</v>
      </c>
      <c r="B58" s="85">
        <f>Peers!I21</f>
        <v>1.3120879542394905</v>
      </c>
      <c r="C58" s="71">
        <f>B58*Model!E84</f>
        <v>350.2361338609897</v>
      </c>
      <c r="D58" s="66">
        <f>C58/$B$11-1</f>
        <v>-0.64432199262619105</v>
      </c>
    </row>
    <row r="59" spans="1:4" x14ac:dyDescent="0.3">
      <c r="A59" s="60" t="s">
        <v>343</v>
      </c>
      <c r="B59" s="85">
        <f>Peers!I22</f>
        <v>1.2899054032373942</v>
      </c>
      <c r="C59" s="71">
        <f>B59*Model!E84</f>
        <v>344.31493713248869</v>
      </c>
      <c r="D59" s="66">
        <f>C59/$B$11-1</f>
        <v>-0.65033519129431427</v>
      </c>
    </row>
    <row r="60" spans="1:4" x14ac:dyDescent="0.3">
      <c r="A60" s="60" t="s">
        <v>344</v>
      </c>
      <c r="B60" s="85">
        <f>Peers!C30</f>
        <v>1.7692537897289202</v>
      </c>
      <c r="C60" s="71">
        <f>B60*Model!E84</f>
        <v>472.26758322975792</v>
      </c>
      <c r="D60" s="66">
        <f>C60/$B$11-1</f>
        <v>-0.52039445188406841</v>
      </c>
    </row>
    <row r="62" spans="1:4" x14ac:dyDescent="0.3">
      <c r="A62" s="51" t="s">
        <v>345</v>
      </c>
    </row>
    <row r="65" spans="1:9" x14ac:dyDescent="0.3">
      <c r="A65" s="52" t="s">
        <v>346</v>
      </c>
      <c r="B65" s="52"/>
      <c r="C65" s="52"/>
      <c r="D65" s="52"/>
      <c r="E65" s="52"/>
      <c r="F65" s="52"/>
      <c r="G65" s="52"/>
      <c r="H65" s="52"/>
      <c r="I65" s="52"/>
    </row>
    <row r="66" spans="1:9" x14ac:dyDescent="0.3">
      <c r="A66" s="63" t="s">
        <v>830</v>
      </c>
    </row>
    <row r="67" spans="1:9" x14ac:dyDescent="0.3">
      <c r="A67" s="63" t="s">
        <v>347</v>
      </c>
      <c r="B67" s="98">
        <f>B36</f>
        <v>526.63591582852303</v>
      </c>
      <c r="C67" s="86">
        <v>0.13</v>
      </c>
      <c r="D67" s="86">
        <v>0.14000000000000001</v>
      </c>
      <c r="E67" s="86">
        <v>0.15</v>
      </c>
      <c r="F67" s="86">
        <v>0.16</v>
      </c>
      <c r="G67" s="86">
        <v>0.17</v>
      </c>
      <c r="H67" s="86">
        <v>0.18</v>
      </c>
      <c r="I67" s="86">
        <v>0.19</v>
      </c>
    </row>
    <row r="68" spans="1:9" x14ac:dyDescent="0.3">
      <c r="B68" s="87">
        <v>0.115</v>
      </c>
      <c r="C68" s="62">
        <f t="dataTable" ref="C68:I75" dt2D="1" dtr="1" r1="B7" r2="B5" ca="1"/>
        <v>651.46561844113319</v>
      </c>
      <c r="D68" s="62">
        <v>762.30365098079096</v>
      </c>
      <c r="E68" s="62">
        <v>873.14168352044885</v>
      </c>
      <c r="F68" s="62">
        <v>983.97971606010674</v>
      </c>
      <c r="G68" s="62">
        <v>1094.8177485997646</v>
      </c>
      <c r="H68" s="62">
        <v>1205.6557811394223</v>
      </c>
      <c r="I68" s="62">
        <v>1316.4938136790804</v>
      </c>
    </row>
    <row r="69" spans="1:9" x14ac:dyDescent="0.3">
      <c r="B69" s="87">
        <v>0.12</v>
      </c>
      <c r="C69" s="62">
        <v>560.34572178794974</v>
      </c>
      <c r="D69" s="62">
        <v>655.94702816469373</v>
      </c>
      <c r="E69" s="62">
        <v>751.5483345414375</v>
      </c>
      <c r="F69" s="62">
        <v>847.14964091818149</v>
      </c>
      <c r="G69" s="62">
        <v>942.75094729492571</v>
      </c>
      <c r="H69" s="62">
        <v>1038.3522536716694</v>
      </c>
      <c r="I69" s="62">
        <v>1133.9535600484132</v>
      </c>
    </row>
    <row r="70" spans="1:9" x14ac:dyDescent="0.3">
      <c r="B70" s="87">
        <v>0.125</v>
      </c>
      <c r="C70" s="62">
        <v>486.94881822196095</v>
      </c>
      <c r="D70" s="62">
        <v>570.26907976415316</v>
      </c>
      <c r="E70" s="62">
        <v>653.5893413063452</v>
      </c>
      <c r="F70" s="62">
        <v>736.90960284853736</v>
      </c>
      <c r="G70" s="62">
        <v>820.22986439072963</v>
      </c>
      <c r="H70" s="62">
        <v>903.55012593292179</v>
      </c>
      <c r="I70" s="62">
        <v>986.87038747511383</v>
      </c>
    </row>
    <row r="71" spans="1:9" x14ac:dyDescent="0.3">
      <c r="B71" s="87">
        <v>0.13</v>
      </c>
      <c r="C71" s="62">
        <v>426.78513599003657</v>
      </c>
      <c r="D71" s="62">
        <v>500.03165208125273</v>
      </c>
      <c r="E71" s="62">
        <v>573.27816817246855</v>
      </c>
      <c r="F71" s="62">
        <v>646.52468426368478</v>
      </c>
      <c r="G71" s="62">
        <v>719.77120035490066</v>
      </c>
      <c r="H71" s="62">
        <v>793.01771644611665</v>
      </c>
      <c r="I71" s="62">
        <v>866.26423253733287</v>
      </c>
    </row>
    <row r="72" spans="1:9" x14ac:dyDescent="0.3">
      <c r="B72" s="79">
        <f>Inputs!C15</f>
        <v>0.13339574535528365</v>
      </c>
      <c r="C72" s="62">
        <v>391.84933720570234</v>
      </c>
      <c r="D72" s="62">
        <v>459.2426265171128</v>
      </c>
      <c r="E72" s="62">
        <v>526.63591582852303</v>
      </c>
      <c r="F72" s="62">
        <v>594.02920513993342</v>
      </c>
      <c r="G72" s="62">
        <v>661.42249445134382</v>
      </c>
      <c r="H72" s="62">
        <v>728.81578376275422</v>
      </c>
      <c r="I72" s="62">
        <v>796.20907307416462</v>
      </c>
    </row>
    <row r="73" spans="1:9" x14ac:dyDescent="0.3">
      <c r="B73" s="87">
        <v>0.13500000000000001</v>
      </c>
      <c r="C73" s="62">
        <v>376.7497309285846</v>
      </c>
      <c r="D73" s="62">
        <v>441.6122283333525</v>
      </c>
      <c r="E73" s="62">
        <v>506.47472573812013</v>
      </c>
      <c r="F73" s="62">
        <v>571.33722314288798</v>
      </c>
      <c r="G73" s="62">
        <v>636.19972054765583</v>
      </c>
      <c r="H73" s="62">
        <v>701.06221795242345</v>
      </c>
      <c r="I73" s="62">
        <v>765.92471535719153</v>
      </c>
    </row>
    <row r="74" spans="1:9" x14ac:dyDescent="0.3">
      <c r="B74" s="87">
        <v>0.14000000000000001</v>
      </c>
      <c r="C74" s="62">
        <v>334.62769592337168</v>
      </c>
      <c r="D74" s="62">
        <v>392.42667273417527</v>
      </c>
      <c r="E74" s="62">
        <v>450.22564954497875</v>
      </c>
      <c r="F74" s="62">
        <v>508.0246263557824</v>
      </c>
      <c r="G74" s="62">
        <v>565.82360316658605</v>
      </c>
      <c r="H74" s="62">
        <v>623.62257997738936</v>
      </c>
      <c r="I74" s="62">
        <v>681.42155678819313</v>
      </c>
    </row>
    <row r="75" spans="1:9" x14ac:dyDescent="0.3">
      <c r="B75" s="87">
        <v>0.14499999999999999</v>
      </c>
      <c r="C75" s="62">
        <v>298.79730067472309</v>
      </c>
      <c r="D75" s="62">
        <v>350.58289328380937</v>
      </c>
      <c r="E75" s="62">
        <v>402.36848589289542</v>
      </c>
      <c r="F75" s="62">
        <v>454.15407850198181</v>
      </c>
      <c r="G75" s="62">
        <v>505.93967111106792</v>
      </c>
      <c r="H75" s="62">
        <v>557.72526372015398</v>
      </c>
      <c r="I75" s="62">
        <v>609.51085632924037</v>
      </c>
    </row>
    <row r="76" spans="1:9" x14ac:dyDescent="0.3">
      <c r="A76" s="51"/>
      <c r="I76" s="81"/>
    </row>
    <row r="78" spans="1:9" x14ac:dyDescent="0.3">
      <c r="A78" s="63" t="s">
        <v>831</v>
      </c>
    </row>
    <row r="79" spans="1:9" x14ac:dyDescent="0.3">
      <c r="A79" s="63" t="s">
        <v>348</v>
      </c>
      <c r="B79" s="98">
        <f>B36</f>
        <v>526.63591582852303</v>
      </c>
      <c r="C79" s="86">
        <v>0.05</v>
      </c>
      <c r="D79" s="86">
        <v>0.06</v>
      </c>
      <c r="E79" s="86">
        <v>6.5000000000000002E-2</v>
      </c>
      <c r="F79" s="86">
        <v>7.0000000000000007E-2</v>
      </c>
      <c r="G79" s="86">
        <v>7.4999999999999997E-2</v>
      </c>
      <c r="H79" s="86">
        <v>0.08</v>
      </c>
      <c r="I79" s="86">
        <v>0.09</v>
      </c>
    </row>
    <row r="80" spans="1:9" x14ac:dyDescent="0.3">
      <c r="B80" s="87">
        <v>0.115</v>
      </c>
      <c r="C80" s="62">
        <f t="dataTable" ref="C80:I87" dt2D="1" dtr="1" r1="B6" r2="B5"/>
        <v>751.241630172025</v>
      </c>
      <c r="D80" s="62">
        <v>801.24886589568268</v>
      </c>
      <c r="E80" s="62">
        <v>833.63923202746651</v>
      </c>
      <c r="F80" s="62">
        <v>873.14168352044885</v>
      </c>
      <c r="G80" s="62">
        <v>922.4223309013413</v>
      </c>
      <c r="H80" s="62">
        <v>985.67076669979201</v>
      </c>
      <c r="I80" s="62">
        <v>1187.5876750511957</v>
      </c>
    </row>
    <row r="81" spans="1:9" x14ac:dyDescent="0.3">
      <c r="B81" s="87">
        <v>0.12</v>
      </c>
      <c r="C81" s="62">
        <v>667.51980230365018</v>
      </c>
      <c r="D81" s="62">
        <v>702.64469504824547</v>
      </c>
      <c r="E81" s="62">
        <v>724.90473363053331</v>
      </c>
      <c r="F81" s="62">
        <v>751.5483345414375</v>
      </c>
      <c r="G81" s="62">
        <v>784.03596276257338</v>
      </c>
      <c r="H81" s="62">
        <v>824.55830828112414</v>
      </c>
      <c r="I81" s="62">
        <v>945.77216074001308</v>
      </c>
    </row>
    <row r="82" spans="1:9" x14ac:dyDescent="0.3">
      <c r="B82" s="87">
        <v>0.125</v>
      </c>
      <c r="C82" s="62">
        <v>596.32947173410309</v>
      </c>
      <c r="D82" s="62">
        <v>620.64681732221356</v>
      </c>
      <c r="E82" s="62">
        <v>635.77063021704862</v>
      </c>
      <c r="F82" s="62">
        <v>653.5893413063452</v>
      </c>
      <c r="G82" s="62">
        <v>674.91084949563208</v>
      </c>
      <c r="H82" s="62">
        <v>700.90211404902391</v>
      </c>
      <c r="I82" s="62">
        <v>774.89588085022422</v>
      </c>
    </row>
    <row r="83" spans="1:9" x14ac:dyDescent="0.3">
      <c r="B83" s="87">
        <v>0.13</v>
      </c>
      <c r="C83" s="62">
        <v>535.24982849284788</v>
      </c>
      <c r="D83" s="62">
        <v>551.62260538712985</v>
      </c>
      <c r="E83" s="62">
        <v>561.6378397125203</v>
      </c>
      <c r="F83" s="62">
        <v>573.27816817246855</v>
      </c>
      <c r="G83" s="62">
        <v>586.98634587300262</v>
      </c>
      <c r="H83" s="62">
        <v>603.38222540591846</v>
      </c>
      <c r="I83" s="62">
        <v>648.26610306650366</v>
      </c>
    </row>
    <row r="84" spans="1:9" x14ac:dyDescent="0.3">
      <c r="B84" s="79">
        <f>Inputs!C15</f>
        <v>0.13339574535528365</v>
      </c>
      <c r="C84" s="62">
        <v>498.57389931346444</v>
      </c>
      <c r="D84" s="62">
        <v>510.75830026022595</v>
      </c>
      <c r="E84" s="62">
        <v>518.13437370596228</v>
      </c>
      <c r="F84" s="62">
        <v>526.63591582852303</v>
      </c>
      <c r="G84" s="62">
        <v>536.55163682396687</v>
      </c>
      <c r="H84" s="62">
        <v>548.27838279877801</v>
      </c>
      <c r="I84" s="62">
        <v>579.66679170795646</v>
      </c>
    </row>
    <row r="85" spans="1:9" x14ac:dyDescent="0.3">
      <c r="B85" s="87">
        <v>0.13500000000000001</v>
      </c>
      <c r="C85" s="62">
        <v>482.43377656301374</v>
      </c>
      <c r="D85" s="62">
        <v>492.91238929708419</v>
      </c>
      <c r="E85" s="62">
        <v>499.22564446400037</v>
      </c>
      <c r="F85" s="62">
        <v>506.47472573812013</v>
      </c>
      <c r="G85" s="62">
        <v>514.89323056536091</v>
      </c>
      <c r="H85" s="62">
        <v>524.79969734080987</v>
      </c>
      <c r="I85" s="62">
        <v>551.05851135286719</v>
      </c>
    </row>
    <row r="86" spans="1:9" x14ac:dyDescent="0.3">
      <c r="B86" s="87">
        <v>0.14000000000000001</v>
      </c>
      <c r="C86" s="62">
        <v>436.44830937025085</v>
      </c>
      <c r="D86" s="62">
        <v>442.5251401307857</v>
      </c>
      <c r="E86" s="62">
        <v>446.13196494444469</v>
      </c>
      <c r="F86" s="62">
        <v>450.22564954497875</v>
      </c>
      <c r="G86" s="62">
        <v>454.91826166497435</v>
      </c>
      <c r="H86" s="62">
        <v>460.35922214167283</v>
      </c>
      <c r="I86" s="62">
        <v>474.38269619228737</v>
      </c>
    </row>
    <row r="87" spans="1:9" x14ac:dyDescent="0.3">
      <c r="B87" s="87">
        <v>0.14499999999999999</v>
      </c>
      <c r="C87" s="62">
        <v>396.16531069136528</v>
      </c>
      <c r="D87" s="62">
        <v>398.94157751484522</v>
      </c>
      <c r="E87" s="62">
        <v>400.55854916118693</v>
      </c>
      <c r="F87" s="62">
        <v>402.36848589289542</v>
      </c>
      <c r="G87" s="62">
        <v>404.41251299041272</v>
      </c>
      <c r="H87" s="62">
        <v>406.74440747308574</v>
      </c>
      <c r="I87" s="62">
        <v>412.58466998602665</v>
      </c>
    </row>
    <row r="89" spans="1:9" x14ac:dyDescent="0.3">
      <c r="A89" s="63"/>
    </row>
    <row r="90" spans="1:9" x14ac:dyDescent="0.3">
      <c r="B90" s="88"/>
      <c r="C90" s="62"/>
      <c r="D90" s="62"/>
      <c r="E90" s="62"/>
      <c r="F90" s="62"/>
      <c r="G90" s="62"/>
      <c r="H90" s="62"/>
      <c r="I90" s="62"/>
    </row>
    <row r="91" spans="1:9" x14ac:dyDescent="0.3">
      <c r="B91" s="88"/>
      <c r="C91" s="62"/>
      <c r="D91" s="62"/>
      <c r="E91" s="62"/>
      <c r="F91" s="62"/>
      <c r="G91" s="62"/>
      <c r="H91" s="62"/>
      <c r="I91" s="62"/>
    </row>
    <row r="92" spans="1:9" x14ac:dyDescent="0.3">
      <c r="B92" s="88"/>
      <c r="C92" s="62"/>
      <c r="D92" s="62"/>
      <c r="E92" s="62"/>
      <c r="F92" s="62"/>
      <c r="G92" s="62"/>
      <c r="H92" s="62"/>
      <c r="I92" s="62"/>
    </row>
    <row r="93" spans="1:9" x14ac:dyDescent="0.3">
      <c r="B93" s="88"/>
      <c r="C93" s="62"/>
      <c r="D93" s="62"/>
      <c r="E93" s="62"/>
      <c r="F93" s="62"/>
      <c r="G93" s="62"/>
      <c r="H93" s="62"/>
      <c r="I93" s="62"/>
    </row>
    <row r="94" spans="1:9" x14ac:dyDescent="0.3">
      <c r="B94" s="88"/>
      <c r="C94" s="62"/>
      <c r="D94" s="62"/>
      <c r="E94" s="62"/>
      <c r="F94" s="62"/>
      <c r="G94" s="62"/>
      <c r="H94" s="62"/>
      <c r="I94" s="62"/>
    </row>
    <row r="95" spans="1:9" x14ac:dyDescent="0.3">
      <c r="B95" s="88"/>
      <c r="C95" s="62"/>
      <c r="D95" s="62"/>
      <c r="E95" s="62"/>
      <c r="F95" s="62"/>
      <c r="G95" s="62"/>
      <c r="H95" s="62"/>
      <c r="I95" s="62"/>
    </row>
    <row r="96" spans="1:9" x14ac:dyDescent="0.3">
      <c r="B96" s="88"/>
      <c r="C96" s="62"/>
      <c r="D96" s="62"/>
      <c r="E96" s="62"/>
      <c r="F96" s="62"/>
      <c r="G96" s="62"/>
      <c r="H96" s="62"/>
      <c r="I96" s="62"/>
    </row>
    <row r="97" spans="1:9" x14ac:dyDescent="0.3">
      <c r="B97" s="88"/>
      <c r="C97" s="62"/>
      <c r="D97" s="62"/>
      <c r="E97" s="62"/>
      <c r="F97" s="62"/>
      <c r="G97" s="62"/>
      <c r="H97" s="62"/>
      <c r="I97" s="62"/>
    </row>
    <row r="98" spans="1:9" x14ac:dyDescent="0.3">
      <c r="A98" s="51"/>
      <c r="C98" s="7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56C5-17B6-4AEF-8DB6-52BBB9FF68CF}">
  <dimension ref="A1:J86"/>
  <sheetViews>
    <sheetView showGridLines="0" zoomScaleNormal="10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8.6640625" defaultRowHeight="13.8" x14ac:dyDescent="0.3"/>
  <cols>
    <col min="1" max="1" width="52" style="50" customWidth="1"/>
    <col min="2" max="2" width="9" style="50" customWidth="1"/>
    <col min="3" max="8" width="12" style="50" customWidth="1"/>
    <col min="9" max="9" width="46" style="50" customWidth="1"/>
    <col min="10" max="16384" width="8.6640625" style="50"/>
  </cols>
  <sheetData>
    <row r="1" spans="1:9" ht="18" x14ac:dyDescent="0.35">
      <c r="A1" s="49" t="s">
        <v>350</v>
      </c>
    </row>
    <row r="2" spans="1:9" x14ac:dyDescent="0.3">
      <c r="A2" s="51" t="s">
        <v>351</v>
      </c>
    </row>
    <row r="4" spans="1:9" x14ac:dyDescent="0.3">
      <c r="A4" s="52" t="s">
        <v>147</v>
      </c>
      <c r="B4" s="53" t="s">
        <v>148</v>
      </c>
      <c r="C4" s="53" t="s">
        <v>352</v>
      </c>
      <c r="D4" s="53" t="s">
        <v>353</v>
      </c>
      <c r="E4" s="53" t="s">
        <v>354</v>
      </c>
      <c r="F4" s="53" t="s">
        <v>355</v>
      </c>
      <c r="G4" s="53" t="s">
        <v>356</v>
      </c>
      <c r="H4" s="53" t="s">
        <v>357</v>
      </c>
      <c r="I4" s="53" t="s">
        <v>358</v>
      </c>
    </row>
    <row r="5" spans="1:9" x14ac:dyDescent="0.3">
      <c r="A5" s="57" t="s">
        <v>199</v>
      </c>
      <c r="B5" s="58"/>
      <c r="C5" s="58"/>
      <c r="D5" s="58"/>
      <c r="E5" s="58"/>
      <c r="F5" s="58"/>
      <c r="G5" s="58"/>
      <c r="H5" s="58"/>
      <c r="I5" s="58"/>
    </row>
    <row r="6" spans="1:9" x14ac:dyDescent="0.3">
      <c r="A6" s="60" t="s">
        <v>359</v>
      </c>
      <c r="B6" s="54" t="s">
        <v>156</v>
      </c>
      <c r="C6" s="61">
        <v>3947.3625000000002</v>
      </c>
      <c r="D6" s="61">
        <v>4881.5523000000003</v>
      </c>
      <c r="E6" s="61">
        <v>6847.0182999999997</v>
      </c>
      <c r="F6" s="61">
        <v>8442.1476000000002</v>
      </c>
      <c r="G6" s="61">
        <v>13368.347100000001</v>
      </c>
      <c r="H6" s="61">
        <v>15711.1093</v>
      </c>
      <c r="I6" s="51" t="s">
        <v>360</v>
      </c>
    </row>
    <row r="7" spans="1:9" x14ac:dyDescent="0.3">
      <c r="A7" s="60" t="s">
        <v>201</v>
      </c>
      <c r="B7" s="54" t="s">
        <v>156</v>
      </c>
      <c r="C7" s="61">
        <v>773.04300000000001</v>
      </c>
      <c r="D7" s="61">
        <v>780.53200000000004</v>
      </c>
      <c r="E7" s="61">
        <v>1189.8842999999999</v>
      </c>
      <c r="F7" s="61">
        <v>1632.3875</v>
      </c>
      <c r="G7" s="61">
        <v>2238.1759999999999</v>
      </c>
      <c r="H7" s="61">
        <v>2647.2073999999998</v>
      </c>
      <c r="I7" s="51" t="s">
        <v>360</v>
      </c>
    </row>
    <row r="8" spans="1:9" x14ac:dyDescent="0.3">
      <c r="A8" s="60" t="s">
        <v>361</v>
      </c>
      <c r="B8" s="54" t="s">
        <v>156</v>
      </c>
      <c r="C8" s="61">
        <v>85.006600000000006</v>
      </c>
      <c r="D8" s="61">
        <v>87.081199999999995</v>
      </c>
      <c r="E8" s="61">
        <v>58.277200000000001</v>
      </c>
      <c r="F8" s="61">
        <v>66.879800000000003</v>
      </c>
      <c r="G8" s="61">
        <v>69.148200000000003</v>
      </c>
      <c r="H8" s="61">
        <v>92.553299999999993</v>
      </c>
      <c r="I8" s="51" t="s">
        <v>360</v>
      </c>
    </row>
    <row r="9" spans="1:9" x14ac:dyDescent="0.3">
      <c r="A9" s="60" t="s">
        <v>362</v>
      </c>
      <c r="B9" s="54" t="s">
        <v>156</v>
      </c>
      <c r="C9" s="61">
        <v>144.63939999999999</v>
      </c>
      <c r="D9" s="61">
        <v>172.5652</v>
      </c>
      <c r="E9" s="61">
        <v>110.2285</v>
      </c>
      <c r="F9" s="61">
        <v>413.29820000000001</v>
      </c>
      <c r="G9" s="61">
        <v>388.05959999999999</v>
      </c>
      <c r="H9" s="61">
        <v>185.46899999999999</v>
      </c>
      <c r="I9" s="51" t="s">
        <v>360</v>
      </c>
    </row>
    <row r="10" spans="1:9" x14ac:dyDescent="0.3">
      <c r="A10" s="63" t="s">
        <v>204</v>
      </c>
      <c r="B10" s="54" t="s">
        <v>156</v>
      </c>
      <c r="C10" s="65">
        <f t="shared" ref="C10:H10" si="0">SUM(C6:C9)</f>
        <v>4950.0514999999996</v>
      </c>
      <c r="D10" s="65">
        <f t="shared" si="0"/>
        <v>5921.7307000000001</v>
      </c>
      <c r="E10" s="65">
        <f t="shared" si="0"/>
        <v>8205.4082999999991</v>
      </c>
      <c r="F10" s="65">
        <f t="shared" si="0"/>
        <v>10554.713100000001</v>
      </c>
      <c r="G10" s="65">
        <f t="shared" si="0"/>
        <v>16063.7309</v>
      </c>
      <c r="H10" s="65">
        <f t="shared" si="0"/>
        <v>18636.339</v>
      </c>
      <c r="I10" s="51" t="s">
        <v>363</v>
      </c>
    </row>
    <row r="11" spans="1:9" x14ac:dyDescent="0.3">
      <c r="A11" s="60" t="s">
        <v>208</v>
      </c>
      <c r="B11" s="54" t="s">
        <v>156</v>
      </c>
      <c r="C11" s="61">
        <v>2584.6097</v>
      </c>
      <c r="D11" s="61">
        <v>2687.6057999999998</v>
      </c>
      <c r="E11" s="61">
        <v>3780.1264000000001</v>
      </c>
      <c r="F11" s="61">
        <v>5397.6292999999996</v>
      </c>
      <c r="G11" s="61">
        <v>8052.1494000000002</v>
      </c>
      <c r="H11" s="61">
        <v>9523.6561999999994</v>
      </c>
      <c r="I11" s="51" t="s">
        <v>364</v>
      </c>
    </row>
    <row r="12" spans="1:9" x14ac:dyDescent="0.3">
      <c r="A12" s="63" t="s">
        <v>365</v>
      </c>
      <c r="B12" s="54" t="s">
        <v>156</v>
      </c>
      <c r="C12" s="65">
        <f t="shared" ref="C12:H12" si="1">C10-C11</f>
        <v>2365.4417999999996</v>
      </c>
      <c r="D12" s="65">
        <f t="shared" si="1"/>
        <v>3234.1249000000003</v>
      </c>
      <c r="E12" s="65">
        <f t="shared" si="1"/>
        <v>4425.281899999999</v>
      </c>
      <c r="F12" s="65">
        <f t="shared" si="1"/>
        <v>5157.0838000000012</v>
      </c>
      <c r="G12" s="65">
        <f t="shared" si="1"/>
        <v>8011.5815000000002</v>
      </c>
      <c r="H12" s="65">
        <f t="shared" si="1"/>
        <v>9112.6828000000005</v>
      </c>
      <c r="I12" s="51" t="s">
        <v>366</v>
      </c>
    </row>
    <row r="13" spans="1:9" x14ac:dyDescent="0.3">
      <c r="A13" s="60" t="s">
        <v>367</v>
      </c>
      <c r="B13" s="54" t="s">
        <v>156</v>
      </c>
      <c r="C13" s="61">
        <v>1420.9327000000001</v>
      </c>
      <c r="D13" s="61">
        <v>993.69420000000002</v>
      </c>
      <c r="E13" s="61">
        <v>1034.4641999999999</v>
      </c>
      <c r="F13" s="61">
        <v>1745.8928000000001</v>
      </c>
      <c r="G13" s="61">
        <v>2526.3110999999999</v>
      </c>
      <c r="H13" s="61">
        <v>2977.9386</v>
      </c>
      <c r="I13" s="51" t="s">
        <v>368</v>
      </c>
    </row>
    <row r="14" spans="1:9" x14ac:dyDescent="0.3">
      <c r="A14" s="63" t="s">
        <v>369</v>
      </c>
      <c r="B14" s="54" t="s">
        <v>156</v>
      </c>
      <c r="C14" s="65">
        <f t="shared" ref="C14:H14" si="2">C12+C13</f>
        <v>3786.3744999999999</v>
      </c>
      <c r="D14" s="65">
        <f t="shared" si="2"/>
        <v>4227.8191000000006</v>
      </c>
      <c r="E14" s="65">
        <f t="shared" si="2"/>
        <v>5459.7460999999985</v>
      </c>
      <c r="F14" s="65">
        <f t="shared" si="2"/>
        <v>6902.9766000000018</v>
      </c>
      <c r="G14" s="65">
        <f t="shared" si="2"/>
        <v>10537.892599999999</v>
      </c>
      <c r="H14" s="65">
        <f t="shared" si="2"/>
        <v>12090.6214</v>
      </c>
      <c r="I14" s="51" t="s">
        <v>366</v>
      </c>
    </row>
    <row r="15" spans="1:9" x14ac:dyDescent="0.3">
      <c r="A15" s="60" t="s">
        <v>370</v>
      </c>
      <c r="B15" s="54" t="s">
        <v>156</v>
      </c>
      <c r="C15" s="61">
        <v>980.17309999999998</v>
      </c>
      <c r="D15" s="61">
        <v>1378.9217000000001</v>
      </c>
      <c r="E15" s="61">
        <v>1793.0282999999999</v>
      </c>
      <c r="F15" s="61">
        <v>2103.6806000000001</v>
      </c>
      <c r="G15" s="61">
        <v>3147.7604000000001</v>
      </c>
      <c r="H15" s="61">
        <v>3848.1619000000001</v>
      </c>
      <c r="I15" s="51" t="s">
        <v>360</v>
      </c>
    </row>
    <row r="16" spans="1:9" x14ac:dyDescent="0.3">
      <c r="A16" s="60" t="s">
        <v>371</v>
      </c>
      <c r="B16" s="54" t="s">
        <v>156</v>
      </c>
      <c r="C16" s="61">
        <v>678.25210000000004</v>
      </c>
      <c r="D16" s="61">
        <v>1033.8525999999999</v>
      </c>
      <c r="E16" s="61">
        <v>1647.2416000000001</v>
      </c>
      <c r="F16" s="61">
        <v>2284.3216000000002</v>
      </c>
      <c r="G16" s="61">
        <v>2809.4549000000002</v>
      </c>
      <c r="H16" s="61">
        <v>3153.6995999999999</v>
      </c>
      <c r="I16" s="51" t="s">
        <v>360</v>
      </c>
    </row>
    <row r="17" spans="1:10" x14ac:dyDescent="0.3">
      <c r="A17" s="63" t="s">
        <v>216</v>
      </c>
      <c r="B17" s="54" t="s">
        <v>156</v>
      </c>
      <c r="C17" s="65">
        <f t="shared" ref="C17:H17" si="3">C15+C16</f>
        <v>1658.4252000000001</v>
      </c>
      <c r="D17" s="65">
        <f t="shared" si="3"/>
        <v>2412.7743</v>
      </c>
      <c r="E17" s="65">
        <f t="shared" si="3"/>
        <v>3440.2699000000002</v>
      </c>
      <c r="F17" s="65">
        <f t="shared" si="3"/>
        <v>4388.0022000000008</v>
      </c>
      <c r="G17" s="65">
        <f t="shared" si="3"/>
        <v>5957.2152999999998</v>
      </c>
      <c r="H17" s="65">
        <f t="shared" si="3"/>
        <v>7001.8615</v>
      </c>
      <c r="I17" s="51" t="s">
        <v>366</v>
      </c>
    </row>
    <row r="18" spans="1:10" x14ac:dyDescent="0.3">
      <c r="A18" s="63" t="s">
        <v>372</v>
      </c>
      <c r="B18" s="54" t="s">
        <v>156</v>
      </c>
      <c r="C18" s="65">
        <f t="shared" ref="C18:H18" si="4">C14-C17</f>
        <v>2127.9492999999998</v>
      </c>
      <c r="D18" s="65">
        <f t="shared" si="4"/>
        <v>1815.0448000000006</v>
      </c>
      <c r="E18" s="65">
        <f t="shared" si="4"/>
        <v>2019.4761999999982</v>
      </c>
      <c r="F18" s="65">
        <f t="shared" si="4"/>
        <v>2514.974400000001</v>
      </c>
      <c r="G18" s="65">
        <f t="shared" si="4"/>
        <v>4580.6772999999994</v>
      </c>
      <c r="H18" s="65">
        <f t="shared" si="4"/>
        <v>5088.7599</v>
      </c>
      <c r="I18" s="51" t="s">
        <v>366</v>
      </c>
    </row>
    <row r="19" spans="1:10" x14ac:dyDescent="0.3">
      <c r="A19" s="60" t="s">
        <v>373</v>
      </c>
      <c r="B19" s="54" t="s">
        <v>156</v>
      </c>
      <c r="C19" s="61">
        <v>669.44110000000001</v>
      </c>
      <c r="D19" s="61">
        <v>360.97430000000003</v>
      </c>
      <c r="E19" s="61">
        <v>154.83940000000001</v>
      </c>
      <c r="F19" s="61">
        <v>438.7439</v>
      </c>
      <c r="G19" s="61">
        <v>1792.6232</v>
      </c>
      <c r="H19" s="61">
        <v>1614.7143000000001</v>
      </c>
      <c r="I19" s="51" t="s">
        <v>360</v>
      </c>
    </row>
    <row r="20" spans="1:10" x14ac:dyDescent="0.3">
      <c r="A20" s="60" t="s">
        <v>374</v>
      </c>
      <c r="B20" s="54" t="s">
        <v>156</v>
      </c>
      <c r="C20" s="61">
        <v>0</v>
      </c>
      <c r="D20" s="61">
        <v>0</v>
      </c>
      <c r="E20" s="61">
        <v>0</v>
      </c>
      <c r="F20" s="61">
        <v>76.801400000000001</v>
      </c>
      <c r="G20" s="61">
        <v>0</v>
      </c>
      <c r="H20" s="61">
        <v>0</v>
      </c>
      <c r="I20" s="51" t="s">
        <v>375</v>
      </c>
    </row>
    <row r="21" spans="1:10" x14ac:dyDescent="0.3">
      <c r="A21" s="63" t="s">
        <v>376</v>
      </c>
      <c r="B21" s="54" t="s">
        <v>156</v>
      </c>
      <c r="C21" s="65">
        <f t="shared" ref="C21:H21" si="5">C18-C19-C20</f>
        <v>1458.5081999999998</v>
      </c>
      <c r="D21" s="65">
        <f t="shared" si="5"/>
        <v>1454.0705000000005</v>
      </c>
      <c r="E21" s="65">
        <f t="shared" si="5"/>
        <v>1864.6367999999982</v>
      </c>
      <c r="F21" s="65">
        <f t="shared" si="5"/>
        <v>1999.429100000001</v>
      </c>
      <c r="G21" s="65">
        <f t="shared" si="5"/>
        <v>2788.0540999999994</v>
      </c>
      <c r="H21" s="65">
        <f t="shared" si="5"/>
        <v>3474.0455999999999</v>
      </c>
      <c r="I21" s="51" t="s">
        <v>366</v>
      </c>
    </row>
    <row r="22" spans="1:10" x14ac:dyDescent="0.3">
      <c r="A22" s="60" t="s">
        <v>377</v>
      </c>
      <c r="B22" s="54" t="s">
        <v>156</v>
      </c>
      <c r="C22" s="61">
        <v>287.8236</v>
      </c>
      <c r="D22" s="61">
        <v>324.2362</v>
      </c>
      <c r="E22" s="61">
        <v>436.7115</v>
      </c>
      <c r="F22" s="61">
        <v>464.71010000000001</v>
      </c>
      <c r="G22" s="61">
        <v>682.12750000000005</v>
      </c>
      <c r="H22" s="61">
        <v>832.79129999999998</v>
      </c>
      <c r="I22" s="51" t="s">
        <v>360</v>
      </c>
    </row>
    <row r="23" spans="1:10" x14ac:dyDescent="0.3">
      <c r="A23" s="63" t="s">
        <v>223</v>
      </c>
      <c r="B23" s="54" t="s">
        <v>156</v>
      </c>
      <c r="C23" s="65">
        <f t="shared" ref="C23:H23" si="6">C21-C22</f>
        <v>1170.6845999999998</v>
      </c>
      <c r="D23" s="65">
        <f t="shared" si="6"/>
        <v>1129.8343000000004</v>
      </c>
      <c r="E23" s="65">
        <f t="shared" si="6"/>
        <v>1427.9252999999981</v>
      </c>
      <c r="F23" s="65">
        <f t="shared" si="6"/>
        <v>1534.719000000001</v>
      </c>
      <c r="G23" s="65">
        <f t="shared" si="6"/>
        <v>2105.9265999999993</v>
      </c>
      <c r="H23" s="65">
        <f t="shared" si="6"/>
        <v>2641.2543000000001</v>
      </c>
      <c r="I23" s="51" t="s">
        <v>378</v>
      </c>
    </row>
    <row r="24" spans="1:10" x14ac:dyDescent="0.3">
      <c r="A24" s="60" t="s">
        <v>379</v>
      </c>
      <c r="B24" s="54" t="s">
        <v>156</v>
      </c>
      <c r="C24" s="61">
        <v>1170.6846</v>
      </c>
      <c r="D24" s="61">
        <v>1129.8342</v>
      </c>
      <c r="E24" s="61">
        <v>1427.9253000000001</v>
      </c>
      <c r="F24" s="61">
        <v>1534.7190000000001</v>
      </c>
      <c r="G24" s="61">
        <v>2105.9265999999998</v>
      </c>
      <c r="H24" s="61">
        <v>2641.2543000000001</v>
      </c>
      <c r="I24" s="51" t="s">
        <v>360</v>
      </c>
    </row>
    <row r="25" spans="1:10" x14ac:dyDescent="0.3">
      <c r="A25" s="60" t="s">
        <v>380</v>
      </c>
      <c r="B25" s="54" t="s">
        <v>156</v>
      </c>
      <c r="C25" s="61">
        <v>4950.0514999999996</v>
      </c>
      <c r="D25" s="61">
        <v>5921.7307000000001</v>
      </c>
      <c r="E25" s="61">
        <v>8205.4082999999991</v>
      </c>
      <c r="F25" s="61">
        <v>10554.713100000001</v>
      </c>
      <c r="G25" s="61">
        <v>16063.7309</v>
      </c>
      <c r="H25" s="61">
        <v>18636.339</v>
      </c>
      <c r="I25" s="51" t="s">
        <v>360</v>
      </c>
    </row>
    <row r="26" spans="1:10" x14ac:dyDescent="0.3">
      <c r="A26" s="60" t="s">
        <v>381</v>
      </c>
      <c r="B26" s="54" t="s">
        <v>156</v>
      </c>
      <c r="C26" s="61">
        <v>1458.5082</v>
      </c>
      <c r="D26" s="61">
        <v>1454.0705</v>
      </c>
      <c r="E26" s="61">
        <v>1864.6368</v>
      </c>
      <c r="F26" s="61">
        <v>1999.4291000000001</v>
      </c>
      <c r="G26" s="61">
        <v>2788.0540999999998</v>
      </c>
      <c r="H26" s="61">
        <v>3474.0455999999999</v>
      </c>
      <c r="I26" s="51" t="s">
        <v>360</v>
      </c>
    </row>
    <row r="27" spans="1:10" x14ac:dyDescent="0.3">
      <c r="I27" s="56"/>
    </row>
    <row r="28" spans="1:10" x14ac:dyDescent="0.3">
      <c r="A28" s="57" t="s">
        <v>382</v>
      </c>
      <c r="B28" s="58"/>
      <c r="C28" s="58"/>
      <c r="D28" s="58"/>
      <c r="E28" s="58"/>
      <c r="F28" s="58"/>
      <c r="G28" s="58"/>
      <c r="H28" s="58"/>
      <c r="I28" s="59"/>
    </row>
    <row r="29" spans="1:10" x14ac:dyDescent="0.3">
      <c r="A29" s="60" t="s">
        <v>184</v>
      </c>
      <c r="B29" s="54" t="s">
        <v>156</v>
      </c>
      <c r="C29" s="61">
        <v>1569.3478</v>
      </c>
      <c r="D29" s="61">
        <v>2468.4072000000001</v>
      </c>
      <c r="E29" s="61">
        <v>8916.0930000000008</v>
      </c>
      <c r="F29" s="61">
        <v>4638.0093999999999</v>
      </c>
      <c r="G29" s="61">
        <v>8604.6221000000005</v>
      </c>
      <c r="H29" s="61">
        <v>6973.2601999999997</v>
      </c>
      <c r="I29" s="51" t="s">
        <v>383</v>
      </c>
      <c r="J29" s="107"/>
    </row>
    <row r="30" spans="1:10" x14ac:dyDescent="0.3">
      <c r="A30" s="60" t="s">
        <v>186</v>
      </c>
      <c r="B30" s="54" t="s">
        <v>156</v>
      </c>
      <c r="C30" s="61">
        <v>3211.9877000000001</v>
      </c>
      <c r="D30" s="61">
        <v>3460.1078000000002</v>
      </c>
      <c r="E30" s="61">
        <v>509.07929999999999</v>
      </c>
      <c r="F30" s="61">
        <v>1738.3249000000001</v>
      </c>
      <c r="G30" s="61">
        <v>861.73969999999997</v>
      </c>
      <c r="H30" s="61">
        <v>1550.1495</v>
      </c>
      <c r="I30" s="51" t="s">
        <v>383</v>
      </c>
    </row>
    <row r="31" spans="1:10" x14ac:dyDescent="0.3">
      <c r="A31" s="60" t="s">
        <v>189</v>
      </c>
      <c r="B31" s="54" t="s">
        <v>156</v>
      </c>
      <c r="C31" s="61">
        <v>10815.4139</v>
      </c>
      <c r="D31" s="61">
        <v>15306.504300000001</v>
      </c>
      <c r="E31" s="61">
        <v>20072.009900000001</v>
      </c>
      <c r="F31" s="61">
        <v>27133.365300000001</v>
      </c>
      <c r="G31" s="61">
        <v>37847.523500000003</v>
      </c>
      <c r="H31" s="61">
        <v>44793.651299999998</v>
      </c>
      <c r="I31" s="51" t="s">
        <v>383</v>
      </c>
    </row>
    <row r="32" spans="1:10" x14ac:dyDescent="0.3">
      <c r="A32" s="60" t="s">
        <v>384</v>
      </c>
      <c r="B32" s="54" t="s">
        <v>156</v>
      </c>
      <c r="C32" s="61">
        <v>34608.914199999999</v>
      </c>
      <c r="D32" s="61">
        <v>46095.256399999998</v>
      </c>
      <c r="E32" s="61">
        <v>58421.544099999999</v>
      </c>
      <c r="F32" s="61">
        <v>73162.654699999999</v>
      </c>
      <c r="G32" s="61">
        <v>107092.48450000001</v>
      </c>
      <c r="H32" s="61">
        <v>134275.63099999999</v>
      </c>
      <c r="I32" s="51" t="s">
        <v>383</v>
      </c>
    </row>
    <row r="33" spans="1:9" x14ac:dyDescent="0.3">
      <c r="A33" s="60" t="s">
        <v>190</v>
      </c>
      <c r="B33" s="54" t="s">
        <v>156</v>
      </c>
      <c r="C33" s="61">
        <v>482.36849999999998</v>
      </c>
      <c r="D33" s="61">
        <v>622.57129999999995</v>
      </c>
      <c r="E33" s="61">
        <v>740.13940000000002</v>
      </c>
      <c r="F33" s="61">
        <v>851.5924</v>
      </c>
      <c r="G33" s="61">
        <v>912.46519999999998</v>
      </c>
      <c r="H33" s="61">
        <v>1436.3820000000001</v>
      </c>
      <c r="I33" s="51" t="s">
        <v>383</v>
      </c>
    </row>
    <row r="34" spans="1:9" x14ac:dyDescent="0.3">
      <c r="A34" s="60" t="s">
        <v>191</v>
      </c>
      <c r="B34" s="54" t="s">
        <v>156</v>
      </c>
      <c r="C34" s="61">
        <v>903.27380000000005</v>
      </c>
      <c r="D34" s="61">
        <v>1124.9534000000001</v>
      </c>
      <c r="E34" s="61">
        <v>1557.2527</v>
      </c>
      <c r="F34" s="61">
        <v>1901.7231999999999</v>
      </c>
      <c r="G34" s="61">
        <v>2526.8312000000001</v>
      </c>
      <c r="H34" s="61">
        <v>2768.3941</v>
      </c>
      <c r="I34" s="51" t="s">
        <v>383</v>
      </c>
    </row>
    <row r="35" spans="1:9" x14ac:dyDescent="0.3">
      <c r="A35" s="63" t="s">
        <v>192</v>
      </c>
      <c r="B35" s="54" t="s">
        <v>156</v>
      </c>
      <c r="C35" s="65">
        <f t="shared" ref="C35:H35" si="7">SUM(C29:C34)</f>
        <v>51591.305899999999</v>
      </c>
      <c r="D35" s="65">
        <f t="shared" si="7"/>
        <v>69077.800399999993</v>
      </c>
      <c r="E35" s="65">
        <f t="shared" si="7"/>
        <v>90216.118400000007</v>
      </c>
      <c r="F35" s="65">
        <f t="shared" si="7"/>
        <v>109425.66989999999</v>
      </c>
      <c r="G35" s="65">
        <f t="shared" si="7"/>
        <v>157845.66620000001</v>
      </c>
      <c r="H35" s="65">
        <f t="shared" si="7"/>
        <v>191797.4681</v>
      </c>
      <c r="I35" s="51" t="s">
        <v>366</v>
      </c>
    </row>
    <row r="36" spans="1:9" x14ac:dyDescent="0.3">
      <c r="A36" s="60" t="s">
        <v>385</v>
      </c>
      <c r="B36" s="54" t="s">
        <v>156</v>
      </c>
      <c r="C36" s="61">
        <v>312.21339999999998</v>
      </c>
      <c r="D36" s="61">
        <v>314.89999999999998</v>
      </c>
      <c r="E36" s="61">
        <v>666.745</v>
      </c>
      <c r="F36" s="61">
        <v>669.16250000000002</v>
      </c>
      <c r="G36" s="61">
        <v>744.53049999999996</v>
      </c>
      <c r="H36" s="61">
        <v>748.26710000000003</v>
      </c>
      <c r="I36" s="51" t="s">
        <v>383</v>
      </c>
    </row>
    <row r="37" spans="1:9" x14ac:dyDescent="0.3">
      <c r="A37" s="60" t="s">
        <v>386</v>
      </c>
      <c r="B37" s="54" t="s">
        <v>156</v>
      </c>
      <c r="C37" s="61">
        <v>103.11709999999999</v>
      </c>
      <c r="D37" s="61">
        <v>41.331600000000002</v>
      </c>
      <c r="E37" s="61">
        <v>44.025199999999998</v>
      </c>
      <c r="F37" s="61">
        <v>62.7256</v>
      </c>
      <c r="G37" s="61">
        <v>124.235</v>
      </c>
      <c r="H37" s="61">
        <v>240.75819999999999</v>
      </c>
      <c r="I37" s="51" t="s">
        <v>383</v>
      </c>
    </row>
    <row r="38" spans="1:9" x14ac:dyDescent="0.3">
      <c r="A38" s="60" t="s">
        <v>387</v>
      </c>
      <c r="B38" s="54" t="s">
        <v>156</v>
      </c>
      <c r="C38" s="61">
        <v>5859.8852999999999</v>
      </c>
      <c r="D38" s="61">
        <v>7157.7824000000001</v>
      </c>
      <c r="E38" s="61">
        <v>10266.5735</v>
      </c>
      <c r="F38" s="61">
        <v>11827.643400000001</v>
      </c>
      <c r="G38" s="61">
        <v>16297.5162</v>
      </c>
      <c r="H38" s="61">
        <v>18984.4967</v>
      </c>
      <c r="I38" s="51" t="s">
        <v>383</v>
      </c>
    </row>
    <row r="39" spans="1:9" x14ac:dyDescent="0.3">
      <c r="A39" s="63" t="s">
        <v>388</v>
      </c>
      <c r="B39" s="54" t="s">
        <v>156</v>
      </c>
      <c r="C39" s="65">
        <f t="shared" ref="C39:H39" si="8">SUM(C36:C38)</f>
        <v>6275.2157999999999</v>
      </c>
      <c r="D39" s="65">
        <f t="shared" si="8"/>
        <v>7514.0140000000001</v>
      </c>
      <c r="E39" s="65">
        <f t="shared" si="8"/>
        <v>10977.343700000001</v>
      </c>
      <c r="F39" s="65">
        <f t="shared" si="8"/>
        <v>12559.531500000001</v>
      </c>
      <c r="G39" s="65">
        <f t="shared" si="8"/>
        <v>17166.2817</v>
      </c>
      <c r="H39" s="65">
        <f t="shared" si="8"/>
        <v>19973.522000000001</v>
      </c>
      <c r="I39" s="51" t="s">
        <v>389</v>
      </c>
    </row>
    <row r="40" spans="1:9" x14ac:dyDescent="0.3">
      <c r="A40" s="60" t="s">
        <v>172</v>
      </c>
      <c r="B40" s="54" t="s">
        <v>156</v>
      </c>
      <c r="C40" s="61">
        <v>35979.314200000001</v>
      </c>
      <c r="D40" s="61">
        <v>52584.620600000002</v>
      </c>
      <c r="E40" s="61">
        <v>69364.986399999994</v>
      </c>
      <c r="F40" s="61">
        <v>87182.116399999999</v>
      </c>
      <c r="G40" s="61">
        <v>124268.5438</v>
      </c>
      <c r="H40" s="61">
        <v>152661.1635</v>
      </c>
      <c r="I40" s="51" t="s">
        <v>383</v>
      </c>
    </row>
    <row r="41" spans="1:9" x14ac:dyDescent="0.3">
      <c r="A41" s="60" t="s">
        <v>178</v>
      </c>
      <c r="B41" s="54" t="s">
        <v>156</v>
      </c>
      <c r="C41" s="61">
        <v>7029.6957000000002</v>
      </c>
      <c r="D41" s="61">
        <v>5990.7785999999996</v>
      </c>
      <c r="E41" s="61">
        <v>6298.6521000000002</v>
      </c>
      <c r="F41" s="61">
        <v>5479.3720999999996</v>
      </c>
      <c r="G41" s="61">
        <v>11659.902400000001</v>
      </c>
      <c r="H41" s="61">
        <v>13871.5447</v>
      </c>
      <c r="I41" s="51" t="s">
        <v>383</v>
      </c>
    </row>
    <row r="42" spans="1:9" x14ac:dyDescent="0.3">
      <c r="A42" s="60" t="s">
        <v>180</v>
      </c>
      <c r="B42" s="54" t="s">
        <v>156</v>
      </c>
      <c r="C42" s="61">
        <v>2307.0801999999999</v>
      </c>
      <c r="D42" s="61">
        <v>2988.3872000000001</v>
      </c>
      <c r="E42" s="61">
        <v>3575.1361999999999</v>
      </c>
      <c r="F42" s="61">
        <v>4204.6499000000003</v>
      </c>
      <c r="G42" s="61">
        <v>4750.9382999999998</v>
      </c>
      <c r="H42" s="61">
        <v>5291.2379000000001</v>
      </c>
      <c r="I42" s="51" t="s">
        <v>383</v>
      </c>
    </row>
    <row r="43" spans="1:9" x14ac:dyDescent="0.3">
      <c r="A43" s="63" t="s">
        <v>182</v>
      </c>
      <c r="B43" s="54" t="s">
        <v>156</v>
      </c>
      <c r="C43" s="65">
        <f t="shared" ref="C43:H43" si="9">C39+SUM(C40:C42)</f>
        <v>51591.305899999999</v>
      </c>
      <c r="D43" s="65">
        <f t="shared" si="9"/>
        <v>69077.800399999993</v>
      </c>
      <c r="E43" s="65">
        <f t="shared" si="9"/>
        <v>90216.118399999992</v>
      </c>
      <c r="F43" s="65">
        <f t="shared" si="9"/>
        <v>109425.66989999999</v>
      </c>
      <c r="G43" s="65">
        <f t="shared" si="9"/>
        <v>157845.66620000001</v>
      </c>
      <c r="H43" s="65">
        <f t="shared" si="9"/>
        <v>191797.4681</v>
      </c>
      <c r="I43" s="51" t="s">
        <v>366</v>
      </c>
    </row>
    <row r="44" spans="1:9" x14ac:dyDescent="0.3">
      <c r="A44" s="60" t="s">
        <v>390</v>
      </c>
      <c r="B44" s="54" t="s">
        <v>156</v>
      </c>
      <c r="C44" s="61">
        <v>51591.305899999999</v>
      </c>
      <c r="D44" s="61">
        <v>69077.800399999993</v>
      </c>
      <c r="E44" s="61">
        <v>90216.118400000007</v>
      </c>
      <c r="F44" s="61">
        <v>109425.66989999999</v>
      </c>
      <c r="G44" s="61">
        <v>157845.66620000001</v>
      </c>
      <c r="H44" s="61">
        <v>191797.4681</v>
      </c>
      <c r="I44" s="51" t="s">
        <v>383</v>
      </c>
    </row>
    <row r="45" spans="1:9" x14ac:dyDescent="0.3">
      <c r="I45" s="56"/>
    </row>
    <row r="46" spans="1:9" x14ac:dyDescent="0.3">
      <c r="A46" s="57" t="s">
        <v>391</v>
      </c>
      <c r="B46" s="58"/>
      <c r="C46" s="58"/>
      <c r="D46" s="58"/>
      <c r="E46" s="58"/>
      <c r="F46" s="58"/>
      <c r="G46" s="58"/>
      <c r="H46" s="58"/>
      <c r="I46" s="59"/>
    </row>
    <row r="47" spans="1:9" x14ac:dyDescent="0.3">
      <c r="A47" s="60" t="s">
        <v>392</v>
      </c>
      <c r="B47" s="54" t="s">
        <v>156</v>
      </c>
      <c r="C47" s="89" t="s">
        <v>393</v>
      </c>
      <c r="D47" s="89" t="s">
        <v>393</v>
      </c>
      <c r="E47" s="89" t="s">
        <v>393</v>
      </c>
      <c r="F47" s="61">
        <v>73999</v>
      </c>
      <c r="G47" s="61">
        <v>115704</v>
      </c>
      <c r="H47" s="61">
        <v>140327</v>
      </c>
      <c r="I47" s="51" t="s">
        <v>394</v>
      </c>
    </row>
    <row r="48" spans="1:9" x14ac:dyDescent="0.3">
      <c r="A48" s="60" t="s">
        <v>175</v>
      </c>
      <c r="B48" s="54" t="s">
        <v>156</v>
      </c>
      <c r="C48" s="89" t="s">
        <v>393</v>
      </c>
      <c r="D48" s="89" t="s">
        <v>393</v>
      </c>
      <c r="E48" s="61">
        <v>26660</v>
      </c>
      <c r="F48" s="61">
        <v>29126</v>
      </c>
      <c r="G48" s="89" t="s">
        <v>393</v>
      </c>
      <c r="H48" s="61">
        <v>43357</v>
      </c>
      <c r="I48" s="51" t="s">
        <v>395</v>
      </c>
    </row>
    <row r="49" spans="1:9" x14ac:dyDescent="0.3">
      <c r="A49" s="60" t="s">
        <v>396</v>
      </c>
      <c r="B49" s="54" t="s">
        <v>165</v>
      </c>
      <c r="C49" s="88">
        <v>0.23</v>
      </c>
      <c r="D49" s="88">
        <v>0.37</v>
      </c>
      <c r="E49" s="88">
        <v>0.38</v>
      </c>
      <c r="F49" s="88">
        <v>0.33</v>
      </c>
      <c r="G49" s="88">
        <v>0.28999999999999998</v>
      </c>
      <c r="H49" s="88">
        <v>0.28000000000000003</v>
      </c>
      <c r="I49" s="51" t="s">
        <v>397</v>
      </c>
    </row>
    <row r="50" spans="1:9" x14ac:dyDescent="0.3">
      <c r="A50" s="60" t="s">
        <v>398</v>
      </c>
      <c r="B50" s="54" t="s">
        <v>165</v>
      </c>
      <c r="C50" s="89" t="s">
        <v>393</v>
      </c>
      <c r="D50" s="89" t="s">
        <v>393</v>
      </c>
      <c r="E50" s="87">
        <v>6.0999999999999999E-2</v>
      </c>
      <c r="F50" s="89" t="s">
        <v>393</v>
      </c>
      <c r="G50" s="87">
        <v>5.9400000000000001E-2</v>
      </c>
      <c r="H50" s="87">
        <v>5.6500000000000002E-2</v>
      </c>
      <c r="I50" s="51" t="s">
        <v>836</v>
      </c>
    </row>
    <row r="51" spans="1:9" x14ac:dyDescent="0.3">
      <c r="A51" s="60" t="s">
        <v>399</v>
      </c>
      <c r="B51" s="54" t="s">
        <v>165</v>
      </c>
      <c r="C51" s="89" t="s">
        <v>393</v>
      </c>
      <c r="D51" s="89" t="s">
        <v>393</v>
      </c>
      <c r="E51" s="87">
        <v>5.96E-2</v>
      </c>
      <c r="F51" s="87">
        <v>6.8000000000000005E-2</v>
      </c>
      <c r="G51" s="87">
        <v>7.0699999999999999E-2</v>
      </c>
      <c r="H51" s="87">
        <v>6.7500000000000004E-2</v>
      </c>
      <c r="I51" s="51" t="s">
        <v>400</v>
      </c>
    </row>
    <row r="52" spans="1:9" x14ac:dyDescent="0.3">
      <c r="A52" s="60" t="s">
        <v>401</v>
      </c>
      <c r="B52" s="54" t="s">
        <v>165</v>
      </c>
      <c r="C52" s="88">
        <v>0.12</v>
      </c>
      <c r="D52" s="88">
        <v>0.16400000000000001</v>
      </c>
      <c r="E52" s="88">
        <v>0.154</v>
      </c>
      <c r="F52" s="88">
        <v>0.13500000000000001</v>
      </c>
      <c r="G52" s="88">
        <v>0.13100000000000001</v>
      </c>
      <c r="H52" s="88">
        <v>0.14199999999999999</v>
      </c>
      <c r="I52" s="51" t="s">
        <v>402</v>
      </c>
    </row>
    <row r="53" spans="1:9" x14ac:dyDescent="0.3">
      <c r="I53" s="56"/>
    </row>
    <row r="54" spans="1:9" x14ac:dyDescent="0.3">
      <c r="A54" s="57" t="s">
        <v>403</v>
      </c>
      <c r="B54" s="58"/>
      <c r="C54" s="58"/>
      <c r="D54" s="58"/>
      <c r="E54" s="58"/>
      <c r="F54" s="58"/>
      <c r="G54" s="58"/>
      <c r="H54" s="58"/>
      <c r="I54" s="59"/>
    </row>
    <row r="55" spans="1:9" x14ac:dyDescent="0.3">
      <c r="A55" s="60" t="s">
        <v>404</v>
      </c>
      <c r="B55" s="54" t="s">
        <v>156</v>
      </c>
      <c r="C55" s="89" t="s">
        <v>393</v>
      </c>
      <c r="D55" s="61">
        <v>7171.7024000000001</v>
      </c>
      <c r="E55" s="61">
        <v>10568.9092</v>
      </c>
      <c r="F55" s="61">
        <v>11972.370199999999</v>
      </c>
      <c r="G55" s="61">
        <v>16339.278</v>
      </c>
      <c r="H55" s="61">
        <v>19590.830000000002</v>
      </c>
      <c r="I55" s="51" t="s">
        <v>405</v>
      </c>
    </row>
    <row r="56" spans="1:9" x14ac:dyDescent="0.3">
      <c r="A56" s="60" t="s">
        <v>247</v>
      </c>
      <c r="B56" s="54" t="s">
        <v>156</v>
      </c>
      <c r="C56" s="89" t="s">
        <v>393</v>
      </c>
      <c r="D56" s="61">
        <v>472.38409999999999</v>
      </c>
      <c r="E56" s="61">
        <v>878.61680000000001</v>
      </c>
      <c r="F56" s="61">
        <v>800.8048</v>
      </c>
      <c r="G56" s="61">
        <v>1726.2639999999999</v>
      </c>
      <c r="H56" s="61">
        <v>2117.7399999999998</v>
      </c>
      <c r="I56" s="51" t="s">
        <v>406</v>
      </c>
    </row>
    <row r="57" spans="1:9" x14ac:dyDescent="0.3">
      <c r="A57" s="60" t="s">
        <v>407</v>
      </c>
      <c r="B57" s="54" t="s">
        <v>156</v>
      </c>
      <c r="C57" s="89" t="s">
        <v>393</v>
      </c>
      <c r="D57" s="61">
        <v>36416.688900000001</v>
      </c>
      <c r="E57" s="61">
        <v>48519.300799999997</v>
      </c>
      <c r="F57" s="61">
        <v>63684.830999999998</v>
      </c>
      <c r="G57" s="61">
        <v>90072.234299999996</v>
      </c>
      <c r="H57" s="61">
        <v>116233.98</v>
      </c>
      <c r="I57" s="51" t="s">
        <v>406</v>
      </c>
    </row>
    <row r="58" spans="1:9" x14ac:dyDescent="0.3">
      <c r="A58" s="60" t="s">
        <v>408</v>
      </c>
      <c r="B58" s="54" t="s">
        <v>165</v>
      </c>
      <c r="C58" s="89" t="s">
        <v>393</v>
      </c>
      <c r="D58" s="69">
        <f>(D55+D56)/D57</f>
        <v>0.20990613729300359</v>
      </c>
      <c r="E58" s="69">
        <f>(E55+E56)/E57</f>
        <v>0.23593757146640498</v>
      </c>
      <c r="F58" s="69">
        <f>(F55+F56)/F57</f>
        <v>0.20056856239439497</v>
      </c>
      <c r="G58" s="69">
        <f>(G55+G56)/G57</f>
        <v>0.20056726848619988</v>
      </c>
      <c r="H58" s="69">
        <f>(H55+H56)/H57</f>
        <v>0.18676612467369696</v>
      </c>
      <c r="I58" s="51" t="s">
        <v>366</v>
      </c>
    </row>
    <row r="59" spans="1:9" x14ac:dyDescent="0.3">
      <c r="A59" s="60" t="s">
        <v>409</v>
      </c>
      <c r="B59" s="54" t="s">
        <v>165</v>
      </c>
      <c r="C59" s="89" t="s">
        <v>393</v>
      </c>
      <c r="D59" s="69">
        <f>D55/D57</f>
        <v>0.19693449944593946</v>
      </c>
      <c r="E59" s="69">
        <f>E55/E57</f>
        <v>0.21782896756006015</v>
      </c>
      <c r="F59" s="69">
        <f>F55/F57</f>
        <v>0.18799406408097399</v>
      </c>
      <c r="G59" s="69">
        <f>G55/G57</f>
        <v>0.18140193953199182</v>
      </c>
      <c r="H59" s="69">
        <f>H55/H57</f>
        <v>0.16854649561169635</v>
      </c>
      <c r="I59" s="51" t="s">
        <v>410</v>
      </c>
    </row>
    <row r="60" spans="1:9" x14ac:dyDescent="0.3">
      <c r="A60" s="60" t="s">
        <v>411</v>
      </c>
      <c r="B60" s="54" t="s">
        <v>165</v>
      </c>
      <c r="C60" s="87">
        <v>0.23369999999999999</v>
      </c>
      <c r="D60" s="87">
        <v>0.2099</v>
      </c>
      <c r="E60" s="87">
        <v>0.2359</v>
      </c>
      <c r="F60" s="87">
        <v>0.2006</v>
      </c>
      <c r="G60" s="87">
        <v>0.2006</v>
      </c>
      <c r="H60" s="87">
        <v>0.18679999999999999</v>
      </c>
      <c r="I60" s="51" t="s">
        <v>412</v>
      </c>
    </row>
    <row r="61" spans="1:9" x14ac:dyDescent="0.3">
      <c r="A61" s="60" t="s">
        <v>413</v>
      </c>
      <c r="B61" s="54" t="s">
        <v>165</v>
      </c>
      <c r="C61" s="89" t="s">
        <v>393</v>
      </c>
      <c r="D61" s="66">
        <f>D57/D35</f>
        <v>0.52718367824578283</v>
      </c>
      <c r="E61" s="66">
        <f>E57/E35</f>
        <v>0.53781188617398989</v>
      </c>
      <c r="F61" s="66">
        <f>F57/F35</f>
        <v>0.58199169407141094</v>
      </c>
      <c r="G61" s="66">
        <f>G57/G35</f>
        <v>0.57063482620975492</v>
      </c>
      <c r="H61" s="66">
        <f>H57/H35</f>
        <v>0.60602457973740065</v>
      </c>
      <c r="I61" s="51" t="s">
        <v>366</v>
      </c>
    </row>
    <row r="62" spans="1:9" x14ac:dyDescent="0.3">
      <c r="I62" s="56"/>
    </row>
    <row r="63" spans="1:9" x14ac:dyDescent="0.3">
      <c r="A63" s="57" t="s">
        <v>414</v>
      </c>
      <c r="B63" s="58"/>
      <c r="C63" s="58"/>
      <c r="D63" s="58"/>
      <c r="E63" s="58"/>
      <c r="F63" s="58"/>
      <c r="G63" s="58"/>
      <c r="H63" s="58"/>
      <c r="I63" s="59"/>
    </row>
    <row r="64" spans="1:9" x14ac:dyDescent="0.3">
      <c r="A64" s="60" t="s">
        <v>415</v>
      </c>
      <c r="B64" s="54" t="s">
        <v>165</v>
      </c>
      <c r="C64" s="89" t="s">
        <v>393</v>
      </c>
      <c r="D64" s="66">
        <f>D32/C32-1</f>
        <v>0.33188970141108909</v>
      </c>
      <c r="E64" s="66">
        <f>E32/D32-1</f>
        <v>0.26740902779748943</v>
      </c>
      <c r="F64" s="66">
        <f>F32/E32-1</f>
        <v>0.25232319390202496</v>
      </c>
      <c r="G64" s="66">
        <f>G32/F32-1</f>
        <v>0.46375886631133967</v>
      </c>
      <c r="H64" s="66">
        <f>H32/G32-1</f>
        <v>0.25382870354455167</v>
      </c>
      <c r="I64" s="51" t="s">
        <v>416</v>
      </c>
    </row>
    <row r="65" spans="1:9" x14ac:dyDescent="0.3">
      <c r="A65" s="60" t="s">
        <v>417</v>
      </c>
      <c r="B65" s="54" t="s">
        <v>165</v>
      </c>
      <c r="C65" s="89" t="s">
        <v>393</v>
      </c>
      <c r="D65" s="66">
        <f>D40/C40-1</f>
        <v>0.46152370519613739</v>
      </c>
      <c r="E65" s="66">
        <f>E40/D40-1</f>
        <v>0.31911166437131233</v>
      </c>
      <c r="F65" s="66">
        <f>F40/E40-1</f>
        <v>0.25686057079656544</v>
      </c>
      <c r="G65" s="66">
        <f>G40/F40-1</f>
        <v>0.42539030860232718</v>
      </c>
      <c r="H65" s="66">
        <f>H40/G40-1</f>
        <v>0.22847793038997533</v>
      </c>
      <c r="I65" s="51" t="s">
        <v>416</v>
      </c>
    </row>
    <row r="66" spans="1:9" x14ac:dyDescent="0.3">
      <c r="A66" s="60" t="s">
        <v>418</v>
      </c>
      <c r="B66" s="54" t="s">
        <v>165</v>
      </c>
      <c r="C66" s="89" t="s">
        <v>393</v>
      </c>
      <c r="D66" s="69">
        <f>D6/((D32+C32)/2)</f>
        <v>0.1209739785120845</v>
      </c>
      <c r="E66" s="69">
        <f>E6/((E32+D32)/2)</f>
        <v>0.13102234793343104</v>
      </c>
      <c r="F66" s="69">
        <f>F6/((F32+E32)/2)</f>
        <v>0.12831552233458596</v>
      </c>
      <c r="G66" s="69">
        <f>G6/((G32+F32)/2)</f>
        <v>0.14832694545443506</v>
      </c>
      <c r="H66" s="69">
        <f>H6/((H32+G32)/2)</f>
        <v>0.13018380051941864</v>
      </c>
      <c r="I66" s="51"/>
    </row>
    <row r="67" spans="1:9" x14ac:dyDescent="0.3">
      <c r="A67" s="60" t="s">
        <v>419</v>
      </c>
      <c r="B67" s="54" t="s">
        <v>165</v>
      </c>
      <c r="C67" s="89" t="s">
        <v>393</v>
      </c>
      <c r="D67" s="69">
        <f>D11/((D40+D41+C40+C41)/2)</f>
        <v>5.2913745796450168E-2</v>
      </c>
      <c r="E67" s="69">
        <f>E11/((E40+E41+D40+D41)/2)</f>
        <v>5.631933101975746E-2</v>
      </c>
      <c r="F67" s="69">
        <f>F11/((F40+F41+E40+E41)/2)</f>
        <v>6.4133375642722673E-2</v>
      </c>
      <c r="G67" s="69">
        <f>G11/((G40+G41+F40+F41)/2)</f>
        <v>7.0450603265341416E-2</v>
      </c>
      <c r="H67" s="69">
        <f>H11/((H40+H41+G40+G41)/2)</f>
        <v>6.2974408855195452E-2</v>
      </c>
      <c r="I67" s="51"/>
    </row>
    <row r="68" spans="1:9" x14ac:dyDescent="0.3">
      <c r="A68" s="60" t="s">
        <v>420</v>
      </c>
      <c r="B68" s="54" t="s">
        <v>165</v>
      </c>
      <c r="C68" s="89" t="s">
        <v>393</v>
      </c>
      <c r="D68" s="69">
        <f>D12/((SUM(D29:D32)+SUM(C29:C32))/2)</f>
        <v>5.5032101998099235E-2</v>
      </c>
      <c r="E68" s="69">
        <f>E12/((SUM(E29:E32)+SUM(D29:D32))/2)</f>
        <v>5.7008828952085616E-2</v>
      </c>
      <c r="F68" s="69">
        <f>F12/((SUM(F29:F32)+SUM(E29:E32))/2)</f>
        <v>5.3004318431232357E-2</v>
      </c>
      <c r="G68" s="69">
        <f>G12/((SUM(G29:G32)+SUM(F29:F32))/2)</f>
        <v>6.1372917518406088E-2</v>
      </c>
      <c r="H68" s="69">
        <f>H12/((SUM(H29:H32)+SUM(G29:G32))/2)</f>
        <v>5.329068888106523E-2</v>
      </c>
      <c r="I68" s="51" t="s">
        <v>421</v>
      </c>
    </row>
    <row r="69" spans="1:9" x14ac:dyDescent="0.3">
      <c r="A69" s="60" t="s">
        <v>422</v>
      </c>
      <c r="B69" s="54" t="s">
        <v>165</v>
      </c>
      <c r="C69" s="66">
        <f t="shared" ref="C69:H69" si="10">C17/C14</f>
        <v>0.43799819589953404</v>
      </c>
      <c r="D69" s="66">
        <f t="shared" si="10"/>
        <v>0.57069005152088925</v>
      </c>
      <c r="E69" s="66">
        <f t="shared" si="10"/>
        <v>0.63011536378953614</v>
      </c>
      <c r="F69" s="66">
        <f t="shared" si="10"/>
        <v>0.6356681261240259</v>
      </c>
      <c r="G69" s="66">
        <f t="shared" si="10"/>
        <v>0.56531372316320627</v>
      </c>
      <c r="H69" s="66">
        <f t="shared" si="10"/>
        <v>0.57911510652380527</v>
      </c>
      <c r="I69" s="51"/>
    </row>
    <row r="70" spans="1:9" x14ac:dyDescent="0.3">
      <c r="A70" s="60" t="s">
        <v>423</v>
      </c>
      <c r="B70" s="54" t="s">
        <v>165</v>
      </c>
      <c r="C70" s="89" t="s">
        <v>393</v>
      </c>
      <c r="D70" s="69">
        <f>D17/((D35+C35)/2)</f>
        <v>3.9989925739592556E-2</v>
      </c>
      <c r="E70" s="69">
        <f>E17/((E35+D35)/2)</f>
        <v>4.319398914806534E-2</v>
      </c>
      <c r="F70" s="69">
        <f>F17/((F35+E35)/2)</f>
        <v>4.3958754701257104E-2</v>
      </c>
      <c r="G70" s="69">
        <f>G17/((G35+F35)/2)</f>
        <v>4.4578033596323237E-2</v>
      </c>
      <c r="H70" s="69">
        <f>H17/((H35+G35)/2)</f>
        <v>4.0051474278298159E-2</v>
      </c>
      <c r="I70" s="51"/>
    </row>
    <row r="71" spans="1:9" x14ac:dyDescent="0.3">
      <c r="A71" s="60" t="s">
        <v>424</v>
      </c>
      <c r="B71" s="54" t="s">
        <v>165</v>
      </c>
      <c r="C71" s="89" t="s">
        <v>393</v>
      </c>
      <c r="D71" s="69">
        <f>D19/((D32+C32)/2)</f>
        <v>8.9456169939252199E-3</v>
      </c>
      <c r="E71" s="69">
        <f>E19/((E32+D32)/2)</f>
        <v>2.9629571372116392E-3</v>
      </c>
      <c r="F71" s="69">
        <f>F19/((F32+E32)/2)</f>
        <v>6.66864112866415E-3</v>
      </c>
      <c r="G71" s="69">
        <f>G19/((G32+F32)/2)</f>
        <v>1.9889842896640142E-2</v>
      </c>
      <c r="H71" s="69">
        <f>H19/((H32+G32)/2)</f>
        <v>1.3379681874344336E-2</v>
      </c>
      <c r="I71" s="51"/>
    </row>
    <row r="72" spans="1:9" x14ac:dyDescent="0.3">
      <c r="A72" s="60" t="s">
        <v>425</v>
      </c>
      <c r="B72" s="54" t="s">
        <v>227</v>
      </c>
      <c r="C72" s="70">
        <v>38.19</v>
      </c>
      <c r="D72" s="70">
        <v>36.06</v>
      </c>
      <c r="E72" s="70">
        <v>21.86</v>
      </c>
      <c r="F72" s="70">
        <v>22.98</v>
      </c>
      <c r="G72" s="70">
        <v>28.32</v>
      </c>
      <c r="H72" s="70">
        <v>35.4</v>
      </c>
      <c r="I72" s="51" t="s">
        <v>426</v>
      </c>
    </row>
    <row r="73" spans="1:9" x14ac:dyDescent="0.3">
      <c r="A73" s="60" t="s">
        <v>427</v>
      </c>
      <c r="B73" s="54" t="s">
        <v>227</v>
      </c>
      <c r="C73" s="70">
        <v>37.86</v>
      </c>
      <c r="D73" s="70">
        <v>35.69</v>
      </c>
      <c r="E73" s="70">
        <v>21.74</v>
      </c>
      <c r="F73" s="70">
        <v>22.86</v>
      </c>
      <c r="G73" s="70">
        <v>28.24</v>
      </c>
      <c r="H73" s="70">
        <v>35.01</v>
      </c>
      <c r="I73" s="51"/>
    </row>
    <row r="74" spans="1:9" x14ac:dyDescent="0.3">
      <c r="A74" s="60" t="s">
        <v>428</v>
      </c>
      <c r="B74" s="54" t="s">
        <v>168</v>
      </c>
      <c r="C74" s="90">
        <v>0.5</v>
      </c>
      <c r="D74" s="90">
        <v>0.5</v>
      </c>
      <c r="E74" s="90">
        <v>1</v>
      </c>
      <c r="F74" s="90">
        <v>1</v>
      </c>
      <c r="G74" s="90">
        <v>1</v>
      </c>
      <c r="H74" s="90">
        <v>1</v>
      </c>
      <c r="I74" s="51" t="s">
        <v>429</v>
      </c>
    </row>
    <row r="75" spans="1:9" x14ac:dyDescent="0.3">
      <c r="A75" s="60" t="s">
        <v>430</v>
      </c>
      <c r="B75" s="54" t="s">
        <v>227</v>
      </c>
      <c r="C75" s="71">
        <f t="shared" ref="C75:H75" si="11">C73*C74</f>
        <v>18.93</v>
      </c>
      <c r="D75" s="71">
        <f t="shared" si="11"/>
        <v>17.844999999999999</v>
      </c>
      <c r="E75" s="71">
        <f t="shared" si="11"/>
        <v>21.74</v>
      </c>
      <c r="F75" s="71">
        <f t="shared" si="11"/>
        <v>22.86</v>
      </c>
      <c r="G75" s="71">
        <f t="shared" si="11"/>
        <v>28.24</v>
      </c>
      <c r="H75" s="71">
        <f t="shared" si="11"/>
        <v>35.01</v>
      </c>
      <c r="I75" s="51" t="s">
        <v>366</v>
      </c>
    </row>
    <row r="76" spans="1:9" x14ac:dyDescent="0.3">
      <c r="A76" s="60" t="s">
        <v>267</v>
      </c>
      <c r="B76" s="54" t="s">
        <v>156</v>
      </c>
      <c r="C76" s="61">
        <v>1502.8290999999999</v>
      </c>
      <c r="D76" s="61">
        <v>924.37819999999999</v>
      </c>
      <c r="E76" s="61">
        <v>981.31259999999997</v>
      </c>
      <c r="F76" s="61">
        <v>1237.4004</v>
      </c>
      <c r="G76" s="61">
        <v>2477.0299</v>
      </c>
      <c r="H76" s="61">
        <v>2755.6406000000002</v>
      </c>
      <c r="I76" s="51" t="s">
        <v>412</v>
      </c>
    </row>
    <row r="77" spans="1:9" x14ac:dyDescent="0.3">
      <c r="A77" s="60" t="s">
        <v>268</v>
      </c>
      <c r="B77" s="54" t="s">
        <v>156</v>
      </c>
      <c r="C77" s="61">
        <v>755.4547</v>
      </c>
      <c r="D77" s="61">
        <v>230.84549999999999</v>
      </c>
      <c r="E77" s="61">
        <v>245.15880000000001</v>
      </c>
      <c r="F77" s="61">
        <v>400.98970000000003</v>
      </c>
      <c r="G77" s="61">
        <v>791.34320000000002</v>
      </c>
      <c r="H77" s="61">
        <v>989.89869999999996</v>
      </c>
      <c r="I77" s="51" t="s">
        <v>412</v>
      </c>
    </row>
    <row r="78" spans="1:9" x14ac:dyDescent="0.3">
      <c r="A78" s="60" t="s">
        <v>431</v>
      </c>
      <c r="B78" s="54" t="s">
        <v>165</v>
      </c>
      <c r="C78" s="87">
        <v>4.2500000000000003E-2</v>
      </c>
      <c r="D78" s="87">
        <v>1.9800000000000002E-2</v>
      </c>
      <c r="E78" s="87">
        <v>1.66E-2</v>
      </c>
      <c r="F78" s="87">
        <v>1.67E-2</v>
      </c>
      <c r="G78" s="87">
        <v>2.2800000000000001E-2</v>
      </c>
      <c r="H78" s="87">
        <v>2.0299999999999999E-2</v>
      </c>
      <c r="I78" s="51" t="s">
        <v>412</v>
      </c>
    </row>
    <row r="79" spans="1:9" x14ac:dyDescent="0.3">
      <c r="A79" s="60" t="s">
        <v>432</v>
      </c>
      <c r="B79" s="54" t="s">
        <v>165</v>
      </c>
      <c r="C79" s="87">
        <v>2.18E-2</v>
      </c>
      <c r="D79" s="87">
        <v>5.0000000000000001E-3</v>
      </c>
      <c r="E79" s="87">
        <v>4.1999999999999997E-3</v>
      </c>
      <c r="F79" s="87">
        <v>5.4999999999999997E-3</v>
      </c>
      <c r="G79" s="87">
        <v>7.4000000000000003E-3</v>
      </c>
      <c r="H79" s="87">
        <v>7.4000000000000003E-3</v>
      </c>
      <c r="I79" s="51" t="s">
        <v>412</v>
      </c>
    </row>
    <row r="80" spans="1:9" x14ac:dyDescent="0.3">
      <c r="A80" s="60" t="s">
        <v>433</v>
      </c>
      <c r="B80" s="54" t="s">
        <v>165</v>
      </c>
      <c r="C80" s="66">
        <f t="shared" ref="C80:H80" si="12">1-C77/C76</f>
        <v>0.49731163709832338</v>
      </c>
      <c r="D80" s="66">
        <f t="shared" si="12"/>
        <v>0.75026942435466348</v>
      </c>
      <c r="E80" s="66">
        <f t="shared" si="12"/>
        <v>0.75017257497763712</v>
      </c>
      <c r="F80" s="66">
        <f t="shared" si="12"/>
        <v>0.67594183741980363</v>
      </c>
      <c r="G80" s="66">
        <f t="shared" si="12"/>
        <v>0.68052739290712638</v>
      </c>
      <c r="H80" s="66">
        <f t="shared" si="12"/>
        <v>0.64077365531629926</v>
      </c>
      <c r="I80" s="51" t="s">
        <v>434</v>
      </c>
    </row>
    <row r="81" spans="1:9" x14ac:dyDescent="0.3">
      <c r="A81" s="60" t="s">
        <v>435</v>
      </c>
      <c r="B81" s="54" t="s">
        <v>165</v>
      </c>
      <c r="C81" s="89" t="s">
        <v>393</v>
      </c>
      <c r="D81" s="69">
        <f>D23/((D35+C35)/2)</f>
        <v>1.8726156754506444E-2</v>
      </c>
      <c r="E81" s="69">
        <f>E23/((E35+D35)/2)</f>
        <v>1.792818345806178E-2</v>
      </c>
      <c r="F81" s="69">
        <f>F23/((F35+E35)/2)</f>
        <v>1.5374727035542195E-2</v>
      </c>
      <c r="G81" s="69">
        <f>G23/((G35+F35)/2)</f>
        <v>1.5758716446959829E-2</v>
      </c>
      <c r="H81" s="69">
        <f>H23/((H35+G35)/2)</f>
        <v>1.5108286369116901E-2</v>
      </c>
      <c r="I81" s="51" t="s">
        <v>436</v>
      </c>
    </row>
    <row r="82" spans="1:9" x14ac:dyDescent="0.3">
      <c r="A82" s="60" t="s">
        <v>437</v>
      </c>
      <c r="B82" s="54" t="s">
        <v>165</v>
      </c>
      <c r="C82" s="89" t="s">
        <v>393</v>
      </c>
      <c r="D82" s="69">
        <f>D23/((D39+C39)/2)</f>
        <v>0.16387199522920423</v>
      </c>
      <c r="E82" s="69">
        <f>E23/((E39+D39)/2)</f>
        <v>0.15444245070225407</v>
      </c>
      <c r="F82" s="69">
        <f>F23/((F39+E39)/2)</f>
        <v>0.1304097495490821</v>
      </c>
      <c r="G82" s="69">
        <f>G23/((G39+F39)/2)</f>
        <v>0.14169009176172845</v>
      </c>
      <c r="H82" s="69">
        <f>H23/((H39+G39)/2)</f>
        <v>0.14223307809244021</v>
      </c>
      <c r="I82" s="51" t="s">
        <v>438</v>
      </c>
    </row>
    <row r="83" spans="1:9" x14ac:dyDescent="0.3">
      <c r="A83" s="60" t="s">
        <v>439</v>
      </c>
      <c r="B83" s="54" t="s">
        <v>168</v>
      </c>
      <c r="C83" s="84">
        <f t="shared" ref="C83:H83" si="13">C35/C39</f>
        <v>8.2214393168757631</v>
      </c>
      <c r="D83" s="84">
        <f t="shared" si="13"/>
        <v>9.1931955942589401</v>
      </c>
      <c r="E83" s="84">
        <f t="shared" si="13"/>
        <v>8.2183924331348024</v>
      </c>
      <c r="F83" s="84">
        <f t="shared" si="13"/>
        <v>8.7125598514562412</v>
      </c>
      <c r="G83" s="84">
        <f t="shared" si="13"/>
        <v>9.1950993790344242</v>
      </c>
      <c r="H83" s="84">
        <f t="shared" si="13"/>
        <v>9.6025862689614776</v>
      </c>
      <c r="I83" s="51"/>
    </row>
    <row r="84" spans="1:9" x14ac:dyDescent="0.3">
      <c r="A84" s="60" t="s">
        <v>174</v>
      </c>
      <c r="B84" s="54" t="s">
        <v>165</v>
      </c>
      <c r="C84" s="66">
        <f t="shared" ref="C84:H84" si="14">C32/C40</f>
        <v>0.96191144743942891</v>
      </c>
      <c r="D84" s="66">
        <f t="shared" si="14"/>
        <v>0.87659197449833837</v>
      </c>
      <c r="E84" s="66">
        <f t="shared" si="14"/>
        <v>0.84223391558251648</v>
      </c>
      <c r="F84" s="66">
        <f t="shared" si="14"/>
        <v>0.8391933772784621</v>
      </c>
      <c r="G84" s="66">
        <f t="shared" si="14"/>
        <v>0.86178272654708621</v>
      </c>
      <c r="H84" s="66">
        <f t="shared" si="14"/>
        <v>0.87956640655368779</v>
      </c>
      <c r="I84" s="51"/>
    </row>
    <row r="85" spans="1:9" x14ac:dyDescent="0.3">
      <c r="A85" s="60" t="s">
        <v>440</v>
      </c>
      <c r="B85" s="54" t="s">
        <v>227</v>
      </c>
      <c r="C85" s="71">
        <f t="shared" ref="C85:H85" si="15">C39/(C36/10)</f>
        <v>200.99123868482263</v>
      </c>
      <c r="D85" s="71">
        <f t="shared" si="15"/>
        <v>238.6158780565259</v>
      </c>
      <c r="E85" s="71">
        <f t="shared" si="15"/>
        <v>164.64081020480097</v>
      </c>
      <c r="F85" s="71">
        <f t="shared" si="15"/>
        <v>187.69030691349261</v>
      </c>
      <c r="G85" s="71">
        <f t="shared" si="15"/>
        <v>230.56519108350835</v>
      </c>
      <c r="H85" s="71">
        <f t="shared" si="15"/>
        <v>266.93037820318438</v>
      </c>
      <c r="I85" s="51" t="s">
        <v>441</v>
      </c>
    </row>
    <row r="86" spans="1:9" x14ac:dyDescent="0.3">
      <c r="A86" s="60" t="s">
        <v>442</v>
      </c>
      <c r="B86" s="54" t="s">
        <v>156</v>
      </c>
      <c r="C86" s="89" t="s">
        <v>393</v>
      </c>
      <c r="D86" s="62">
        <f>D39-C39-D23</f>
        <v>108.96389999999974</v>
      </c>
      <c r="E86" s="62">
        <f>E39-D39-E23</f>
        <v>2035.4044000000031</v>
      </c>
      <c r="F86" s="62">
        <f>F39-E39-F23</f>
        <v>47.468799999998737</v>
      </c>
      <c r="G86" s="62">
        <f>G39-F39-G23</f>
        <v>2500.8235999999993</v>
      </c>
      <c r="H86" s="62">
        <f>H39-G39-H23</f>
        <v>165.98600000000124</v>
      </c>
      <c r="I86" s="51" t="s">
        <v>443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540E-7141-4A24-BC49-E17C2F981481}">
  <dimension ref="A1:AP32"/>
  <sheetViews>
    <sheetView showGridLines="0"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8.6640625" defaultRowHeight="13.8" x14ac:dyDescent="0.3"/>
  <cols>
    <col min="1" max="1" width="34" style="50" customWidth="1"/>
    <col min="2" max="2" width="11" style="50" customWidth="1"/>
    <col min="3" max="3" width="9" style="50" customWidth="1"/>
    <col min="4" max="4" width="11" style="50" customWidth="1"/>
    <col min="5" max="8" width="12" style="50" customWidth="1"/>
    <col min="9" max="18" width="10" style="50" customWidth="1"/>
    <col min="19" max="19" width="8.6640625" style="50"/>
    <col min="20" max="38" width="13" style="50" customWidth="1"/>
    <col min="39" max="16384" width="8.6640625" style="50"/>
  </cols>
  <sheetData>
    <row r="1" spans="1:42" ht="18" x14ac:dyDescent="0.35">
      <c r="A1" s="49" t="s">
        <v>444</v>
      </c>
    </row>
    <row r="2" spans="1:42" x14ac:dyDescent="0.3">
      <c r="A2" s="51" t="s">
        <v>445</v>
      </c>
    </row>
    <row r="3" spans="1:42" x14ac:dyDescent="0.3">
      <c r="T3" s="63" t="s">
        <v>446</v>
      </c>
    </row>
    <row r="4" spans="1:42" x14ac:dyDescent="0.3">
      <c r="A4" s="52" t="s">
        <v>447</v>
      </c>
      <c r="B4" s="53" t="s">
        <v>448</v>
      </c>
      <c r="C4" s="53" t="s">
        <v>449</v>
      </c>
      <c r="D4" s="53" t="s">
        <v>450</v>
      </c>
      <c r="E4" s="53" t="s">
        <v>451</v>
      </c>
      <c r="F4" s="53" t="s">
        <v>452</v>
      </c>
      <c r="G4" s="53" t="s">
        <v>453</v>
      </c>
      <c r="H4" s="53" t="s">
        <v>454</v>
      </c>
      <c r="I4" s="53" t="s">
        <v>327</v>
      </c>
      <c r="J4" s="53" t="s">
        <v>455</v>
      </c>
      <c r="K4" s="53" t="s">
        <v>326</v>
      </c>
      <c r="L4" s="53" t="s">
        <v>456</v>
      </c>
      <c r="M4" s="53" t="s">
        <v>457</v>
      </c>
      <c r="N4" s="53" t="s">
        <v>458</v>
      </c>
      <c r="O4" s="53" t="s">
        <v>459</v>
      </c>
      <c r="P4" s="53" t="s">
        <v>460</v>
      </c>
      <c r="Q4" s="53" t="s">
        <v>461</v>
      </c>
      <c r="R4" s="53" t="s">
        <v>462</v>
      </c>
      <c r="S4" s="52" t="s">
        <v>463</v>
      </c>
      <c r="T4" s="52" t="s">
        <v>464</v>
      </c>
      <c r="U4" s="52" t="s">
        <v>465</v>
      </c>
      <c r="V4" s="52" t="s">
        <v>466</v>
      </c>
      <c r="W4" s="52" t="s">
        <v>467</v>
      </c>
      <c r="X4" s="52" t="s">
        <v>468</v>
      </c>
      <c r="Y4" s="52" t="s">
        <v>469</v>
      </c>
      <c r="Z4" s="52" t="s">
        <v>470</v>
      </c>
      <c r="AA4" s="52" t="s">
        <v>471</v>
      </c>
      <c r="AB4" s="52" t="s">
        <v>472</v>
      </c>
      <c r="AC4" s="52" t="s">
        <v>473</v>
      </c>
      <c r="AD4" s="52" t="s">
        <v>474</v>
      </c>
      <c r="AE4" s="52" t="s">
        <v>475</v>
      </c>
      <c r="AF4" s="52" t="s">
        <v>476</v>
      </c>
      <c r="AG4" s="52" t="s">
        <v>477</v>
      </c>
      <c r="AH4" s="52" t="s">
        <v>478</v>
      </c>
      <c r="AI4" s="52" t="s">
        <v>479</v>
      </c>
      <c r="AJ4" s="52" t="s">
        <v>480</v>
      </c>
      <c r="AK4" s="52" t="s">
        <v>481</v>
      </c>
      <c r="AL4" s="52" t="s">
        <v>482</v>
      </c>
      <c r="AN4" s="52" t="s">
        <v>483</v>
      </c>
      <c r="AO4" s="52" t="s">
        <v>484</v>
      </c>
      <c r="AP4" s="52" t="s">
        <v>485</v>
      </c>
    </row>
    <row r="5" spans="1:42" x14ac:dyDescent="0.3">
      <c r="A5" s="63" t="s">
        <v>486</v>
      </c>
      <c r="B5" s="60" t="s">
        <v>487</v>
      </c>
      <c r="C5" s="60" t="s">
        <v>488</v>
      </c>
      <c r="D5" s="70">
        <v>984.7</v>
      </c>
      <c r="E5" s="71">
        <f t="shared" ref="E5:E17" si="0">T5/U5</f>
        <v>74.826999999999998</v>
      </c>
      <c r="F5" s="62">
        <f t="shared" ref="F5:F17" si="1">D5*E5</f>
        <v>73682.146900000007</v>
      </c>
      <c r="G5" s="62">
        <f t="shared" ref="G5:G17" si="2">V5+W5</f>
        <v>19973.52</v>
      </c>
      <c r="H5" s="62">
        <f t="shared" ref="H5:H17" si="3">Z5</f>
        <v>2641.25</v>
      </c>
      <c r="I5" s="83">
        <f t="shared" ref="I5:I17" si="4">F5/G5</f>
        <v>3.6889915698384663</v>
      </c>
      <c r="J5" s="84">
        <f t="shared" ref="J5:J17" si="5">IF(H5&gt;0,F5/H5,"n.m.")</f>
        <v>27.896695466161859</v>
      </c>
      <c r="K5" s="66">
        <f t="shared" ref="K5:K17" si="6">H5/((V5+W5+X5+Y5)/2)</f>
        <v>0.14223286070468877</v>
      </c>
      <c r="L5" s="69">
        <f t="shared" ref="L5:L17" si="7">AL5</f>
        <v>1.5699999999999999E-2</v>
      </c>
      <c r="M5" s="69">
        <f t="shared" ref="M5:M17" si="8">(AA5-AB5)/((AC5+AD5)/2)</f>
        <v>5.2125604409112673E-2</v>
      </c>
      <c r="N5" s="69">
        <f t="shared" ref="N5:P17" si="9">AI5</f>
        <v>2.0299999999999999E-2</v>
      </c>
      <c r="O5" s="69">
        <f t="shared" si="9"/>
        <v>7.4000000000000003E-3</v>
      </c>
      <c r="P5" s="66">
        <f t="shared" si="9"/>
        <v>0.1686</v>
      </c>
      <c r="Q5" s="66">
        <f t="shared" ref="Q5:Q17" si="10">AE5/AF5-1</f>
        <v>0.25382874689240564</v>
      </c>
      <c r="R5" s="66">
        <f t="shared" ref="R5:R17" si="11">AG5/AH5-1</f>
        <v>0.22847793979071462</v>
      </c>
      <c r="T5" s="70">
        <v>748.27</v>
      </c>
      <c r="U5" s="70">
        <v>10</v>
      </c>
      <c r="V5" s="70">
        <v>748.27</v>
      </c>
      <c r="W5" s="70">
        <v>19225.25</v>
      </c>
      <c r="X5" s="70">
        <v>744.53</v>
      </c>
      <c r="Y5" s="70">
        <v>16421.75</v>
      </c>
      <c r="Z5" s="70">
        <v>2641.25</v>
      </c>
      <c r="AA5" s="70">
        <v>18636.34</v>
      </c>
      <c r="AB5" s="70">
        <v>9523.66</v>
      </c>
      <c r="AC5" s="70">
        <v>191797.47</v>
      </c>
      <c r="AD5" s="70">
        <v>157845.67000000001</v>
      </c>
      <c r="AE5" s="70">
        <v>134275.63</v>
      </c>
      <c r="AF5" s="70">
        <v>107092.48</v>
      </c>
      <c r="AG5" s="70">
        <v>152661.16</v>
      </c>
      <c r="AH5" s="70">
        <v>124268.54</v>
      </c>
      <c r="AI5" s="87">
        <v>2.0299999999999999E-2</v>
      </c>
      <c r="AJ5" s="87">
        <v>7.4000000000000003E-3</v>
      </c>
      <c r="AK5" s="87">
        <v>0.1686</v>
      </c>
      <c r="AL5" s="87">
        <v>1.5699999999999999E-2</v>
      </c>
      <c r="AP5" s="91">
        <f t="shared" ref="AP5:AP17" si="12">IF(ISNUMBER(J5),J5,"")</f>
        <v>27.896695466161859</v>
      </c>
    </row>
    <row r="6" spans="1:42" x14ac:dyDescent="0.3">
      <c r="A6" s="60" t="s">
        <v>489</v>
      </c>
      <c r="B6" s="60" t="s">
        <v>490</v>
      </c>
      <c r="C6" s="60" t="s">
        <v>491</v>
      </c>
      <c r="D6" s="70">
        <v>70.209999999999994</v>
      </c>
      <c r="E6" s="71">
        <f t="shared" si="0"/>
        <v>114.104</v>
      </c>
      <c r="F6" s="62">
        <f t="shared" si="1"/>
        <v>8011.2418399999997</v>
      </c>
      <c r="G6" s="62">
        <f t="shared" si="2"/>
        <v>6124.83</v>
      </c>
      <c r="H6" s="62">
        <f t="shared" si="3"/>
        <v>103.08</v>
      </c>
      <c r="I6" s="83">
        <f t="shared" si="4"/>
        <v>1.3079941549398106</v>
      </c>
      <c r="J6" s="84">
        <f t="shared" si="5"/>
        <v>77.718682964687616</v>
      </c>
      <c r="K6" s="66">
        <f t="shared" si="6"/>
        <v>1.6902031998753831E-2</v>
      </c>
      <c r="L6" s="69">
        <f t="shared" si="7"/>
        <v>1.8E-3</v>
      </c>
      <c r="M6" s="69">
        <f t="shared" si="8"/>
        <v>5.9784748672033275E-2</v>
      </c>
      <c r="N6" s="69">
        <f t="shared" si="9"/>
        <v>2.5999999999999999E-2</v>
      </c>
      <c r="O6" s="69">
        <f t="shared" si="9"/>
        <v>7.1999999999999998E-3</v>
      </c>
      <c r="P6" s="66">
        <f t="shared" si="9"/>
        <v>0.1668</v>
      </c>
      <c r="Q6" s="66">
        <f t="shared" si="10"/>
        <v>0.18068490914800206</v>
      </c>
      <c r="R6" s="66">
        <f t="shared" si="11"/>
        <v>7.9485750713577774E-2</v>
      </c>
      <c r="S6" s="77">
        <f t="shared" ref="S6:S17" si="13">IF(K6&gt;0.05,1,0)</f>
        <v>0</v>
      </c>
      <c r="T6" s="70">
        <v>1141.04</v>
      </c>
      <c r="U6" s="70">
        <v>10</v>
      </c>
      <c r="V6" s="70">
        <v>1141.04</v>
      </c>
      <c r="W6" s="70">
        <v>4983.79</v>
      </c>
      <c r="X6" s="70">
        <v>1139.8599999999999</v>
      </c>
      <c r="Y6" s="70">
        <v>4932.66</v>
      </c>
      <c r="Z6" s="70">
        <v>103.08</v>
      </c>
      <c r="AA6" s="70">
        <v>6794.24</v>
      </c>
      <c r="AB6" s="70">
        <v>3403.07</v>
      </c>
      <c r="AC6" s="70">
        <v>60610.36</v>
      </c>
      <c r="AD6" s="70">
        <v>52835.63</v>
      </c>
      <c r="AE6" s="70">
        <v>42751.29</v>
      </c>
      <c r="AF6" s="70">
        <v>36208.89</v>
      </c>
      <c r="AG6" s="70">
        <v>46533.09</v>
      </c>
      <c r="AH6" s="70">
        <v>43106.720000000001</v>
      </c>
      <c r="AI6" s="87">
        <v>2.5999999999999999E-2</v>
      </c>
      <c r="AJ6" s="87">
        <v>7.1999999999999998E-3</v>
      </c>
      <c r="AK6" s="87">
        <v>0.1668</v>
      </c>
      <c r="AL6" s="87">
        <v>1.8E-3</v>
      </c>
      <c r="AN6" s="66" t="str">
        <f t="shared" ref="AN6:AN17" si="14">IF(S6=1,K6,"")</f>
        <v/>
      </c>
      <c r="AO6" s="83" t="str">
        <f t="shared" ref="AO6:AO17" si="15">IF(S6=1,I6,"")</f>
        <v/>
      </c>
      <c r="AP6" s="91">
        <f t="shared" si="12"/>
        <v>77.718682964687616</v>
      </c>
    </row>
    <row r="7" spans="1:42" x14ac:dyDescent="0.3">
      <c r="A7" s="60" t="s">
        <v>492</v>
      </c>
      <c r="B7" s="60" t="s">
        <v>493</v>
      </c>
      <c r="C7" s="60" t="s">
        <v>491</v>
      </c>
      <c r="D7" s="70">
        <v>54.39</v>
      </c>
      <c r="E7" s="71">
        <f t="shared" si="0"/>
        <v>194.27100000000002</v>
      </c>
      <c r="F7" s="62">
        <f t="shared" si="1"/>
        <v>10566.39969</v>
      </c>
      <c r="G7" s="62">
        <f t="shared" si="2"/>
        <v>6815.68</v>
      </c>
      <c r="H7" s="62">
        <f t="shared" si="3"/>
        <v>692.63</v>
      </c>
      <c r="I7" s="83">
        <f t="shared" si="4"/>
        <v>1.5503074806915818</v>
      </c>
      <c r="J7" s="84">
        <f t="shared" si="5"/>
        <v>15.255475058833721</v>
      </c>
      <c r="K7" s="66">
        <f t="shared" si="6"/>
        <v>0.10739215509943345</v>
      </c>
      <c r="L7" s="69">
        <f t="shared" si="7"/>
        <v>1.37E-2</v>
      </c>
      <c r="M7" s="69">
        <f t="shared" si="8"/>
        <v>7.3571923539936579E-2</v>
      </c>
      <c r="N7" s="69">
        <f t="shared" si="9"/>
        <v>2.2599999999999999E-2</v>
      </c>
      <c r="O7" s="69">
        <f t="shared" si="9"/>
        <v>4.3E-3</v>
      </c>
      <c r="P7" s="66">
        <f t="shared" si="9"/>
        <v>0.19700000000000001</v>
      </c>
      <c r="Q7" s="66">
        <f t="shared" si="10"/>
        <v>0.26666294998407136</v>
      </c>
      <c r="R7" s="66">
        <f t="shared" si="11"/>
        <v>0.21359945448476858</v>
      </c>
      <c r="S7" s="77">
        <f t="shared" si="13"/>
        <v>1</v>
      </c>
      <c r="T7" s="70">
        <v>1942.71</v>
      </c>
      <c r="U7" s="70">
        <v>10</v>
      </c>
      <c r="V7" s="70">
        <v>1942.71</v>
      </c>
      <c r="W7" s="70">
        <v>4872.97</v>
      </c>
      <c r="X7" s="70">
        <v>1935</v>
      </c>
      <c r="Y7" s="70">
        <v>4148.3999999999996</v>
      </c>
      <c r="Z7" s="70">
        <v>692.63</v>
      </c>
      <c r="AA7" s="70">
        <v>6931.45</v>
      </c>
      <c r="AB7" s="70">
        <v>3060.45</v>
      </c>
      <c r="AC7" s="70">
        <v>57541.21</v>
      </c>
      <c r="AD7" s="70">
        <v>47689.15</v>
      </c>
      <c r="AE7" s="70">
        <v>39760.550000000003</v>
      </c>
      <c r="AF7" s="70">
        <v>31390</v>
      </c>
      <c r="AG7" s="70">
        <v>45668.33</v>
      </c>
      <c r="AH7" s="70">
        <v>37630.480000000003</v>
      </c>
      <c r="AI7" s="87">
        <v>2.2599999999999999E-2</v>
      </c>
      <c r="AJ7" s="87">
        <v>4.3E-3</v>
      </c>
      <c r="AK7" s="87">
        <v>0.19700000000000001</v>
      </c>
      <c r="AL7" s="87">
        <v>1.37E-2</v>
      </c>
      <c r="AN7" s="66">
        <f t="shared" si="14"/>
        <v>0.10739215509943345</v>
      </c>
      <c r="AO7" s="83">
        <f t="shared" si="15"/>
        <v>1.5503074806915818</v>
      </c>
      <c r="AP7" s="91">
        <f t="shared" si="12"/>
        <v>15.255475058833721</v>
      </c>
    </row>
    <row r="8" spans="1:42" x14ac:dyDescent="0.3">
      <c r="A8" s="60" t="s">
        <v>494</v>
      </c>
      <c r="B8" s="60" t="s">
        <v>495</v>
      </c>
      <c r="C8" s="60" t="s">
        <v>491</v>
      </c>
      <c r="D8" s="70">
        <v>495.25</v>
      </c>
      <c r="E8" s="71">
        <f t="shared" si="0"/>
        <v>10.532</v>
      </c>
      <c r="F8" s="62">
        <f t="shared" si="1"/>
        <v>5215.973</v>
      </c>
      <c r="G8" s="62">
        <f t="shared" si="2"/>
        <v>4470.2</v>
      </c>
      <c r="H8" s="62">
        <f t="shared" si="3"/>
        <v>326.43</v>
      </c>
      <c r="I8" s="83">
        <f t="shared" si="4"/>
        <v>1.1668321327904791</v>
      </c>
      <c r="J8" s="84">
        <f t="shared" si="5"/>
        <v>15.978840792819287</v>
      </c>
      <c r="K8" s="66">
        <f t="shared" si="6"/>
        <v>7.6015159718462386E-2</v>
      </c>
      <c r="L8" s="69">
        <f t="shared" si="7"/>
        <v>1.26E-2</v>
      </c>
      <c r="M8" s="69">
        <f t="shared" si="8"/>
        <v>6.036757657748365E-2</v>
      </c>
      <c r="N8" s="69">
        <f t="shared" si="9"/>
        <v>2.46E-2</v>
      </c>
      <c r="O8" s="69">
        <f t="shared" si="9"/>
        <v>9.1999999999999998E-3</v>
      </c>
      <c r="P8" s="66">
        <f t="shared" si="9"/>
        <v>0.17510000000000001</v>
      </c>
      <c r="Q8" s="66">
        <f t="shared" si="10"/>
        <v>0.24570399786709718</v>
      </c>
      <c r="R8" s="66">
        <f t="shared" si="11"/>
        <v>0.228872264831671</v>
      </c>
      <c r="S8" s="77">
        <f t="shared" si="13"/>
        <v>1</v>
      </c>
      <c r="T8" s="70">
        <v>105.32</v>
      </c>
      <c r="U8" s="70">
        <v>10</v>
      </c>
      <c r="V8" s="70">
        <v>105.32</v>
      </c>
      <c r="W8" s="70">
        <v>4364.88</v>
      </c>
      <c r="X8" s="70">
        <v>105.06</v>
      </c>
      <c r="Y8" s="70">
        <v>4013.29</v>
      </c>
      <c r="Z8" s="70">
        <v>326.43</v>
      </c>
      <c r="AA8" s="70">
        <v>5352.87</v>
      </c>
      <c r="AB8" s="70">
        <v>2759.74</v>
      </c>
      <c r="AC8" s="70">
        <v>47447.73</v>
      </c>
      <c r="AD8" s="70">
        <v>38463.620000000003</v>
      </c>
      <c r="AE8" s="70">
        <v>33827.69</v>
      </c>
      <c r="AF8" s="70">
        <v>27155.48</v>
      </c>
      <c r="AG8" s="70">
        <v>35784.49</v>
      </c>
      <c r="AH8" s="70">
        <v>29119.78</v>
      </c>
      <c r="AI8" s="87">
        <v>2.46E-2</v>
      </c>
      <c r="AJ8" s="87">
        <v>9.1999999999999998E-3</v>
      </c>
      <c r="AK8" s="87">
        <v>0.17510000000000001</v>
      </c>
      <c r="AL8" s="87">
        <v>1.26E-2</v>
      </c>
      <c r="AN8" s="66">
        <f t="shared" si="14"/>
        <v>7.6015159718462386E-2</v>
      </c>
      <c r="AO8" s="83">
        <f t="shared" si="15"/>
        <v>1.1668321327904791</v>
      </c>
      <c r="AP8" s="91">
        <f t="shared" si="12"/>
        <v>15.978840792819287</v>
      </c>
    </row>
    <row r="9" spans="1:42" x14ac:dyDescent="0.3">
      <c r="A9" s="60" t="s">
        <v>496</v>
      </c>
      <c r="B9" s="60" t="s">
        <v>497</v>
      </c>
      <c r="C9" s="60" t="s">
        <v>491</v>
      </c>
      <c r="D9" s="70">
        <v>274.64999999999998</v>
      </c>
      <c r="E9" s="71">
        <f t="shared" si="0"/>
        <v>4.5419999999999998</v>
      </c>
      <c r="F9" s="62">
        <f t="shared" si="1"/>
        <v>1247.4602999999997</v>
      </c>
      <c r="G9" s="62">
        <f t="shared" si="2"/>
        <v>1461.03</v>
      </c>
      <c r="H9" s="62">
        <f t="shared" si="3"/>
        <v>141.38999999999999</v>
      </c>
      <c r="I9" s="83">
        <f t="shared" si="4"/>
        <v>0.85382250877805366</v>
      </c>
      <c r="J9" s="84">
        <f t="shared" si="5"/>
        <v>8.8228325907065557</v>
      </c>
      <c r="K9" s="66">
        <f t="shared" si="6"/>
        <v>0.1009506741825737</v>
      </c>
      <c r="L9" s="69">
        <f t="shared" si="7"/>
        <v>1.23E-2</v>
      </c>
      <c r="M9" s="69">
        <f t="shared" si="8"/>
        <v>4.1473252304905971E-2</v>
      </c>
      <c r="N9" s="69">
        <f t="shared" si="9"/>
        <v>2.5399999999999999E-2</v>
      </c>
      <c r="O9" s="69">
        <f t="shared" si="9"/>
        <v>1.24E-2</v>
      </c>
      <c r="P9" s="66">
        <f t="shared" si="9"/>
        <v>0.1958</v>
      </c>
      <c r="Q9" s="66">
        <f t="shared" si="10"/>
        <v>0.20901812171121747</v>
      </c>
      <c r="R9" s="66">
        <f t="shared" si="11"/>
        <v>0.20366832480234542</v>
      </c>
      <c r="S9" s="77">
        <f t="shared" si="13"/>
        <v>1</v>
      </c>
      <c r="T9" s="70">
        <v>45.42</v>
      </c>
      <c r="U9" s="70">
        <v>10</v>
      </c>
      <c r="V9" s="70">
        <v>45.42</v>
      </c>
      <c r="W9" s="70">
        <v>1415.61</v>
      </c>
      <c r="X9" s="70">
        <v>45.25</v>
      </c>
      <c r="Y9" s="70">
        <v>1294.8900000000001</v>
      </c>
      <c r="Z9" s="70">
        <v>141.38999999999999</v>
      </c>
      <c r="AA9" s="70">
        <v>1048.5999999999999</v>
      </c>
      <c r="AB9" s="70">
        <v>587.17999999999995</v>
      </c>
      <c r="AC9" s="70">
        <v>12143.94</v>
      </c>
      <c r="AD9" s="70">
        <v>10107.51</v>
      </c>
      <c r="AE9" s="70">
        <v>8572.41</v>
      </c>
      <c r="AF9" s="70">
        <v>7090.39</v>
      </c>
      <c r="AG9" s="70">
        <v>10017.65</v>
      </c>
      <c r="AH9" s="70">
        <v>8322.6</v>
      </c>
      <c r="AI9" s="87">
        <v>2.5399999999999999E-2</v>
      </c>
      <c r="AJ9" s="87">
        <v>1.24E-2</v>
      </c>
      <c r="AK9" s="87">
        <v>0.1958</v>
      </c>
      <c r="AL9" s="87">
        <v>1.23E-2</v>
      </c>
      <c r="AN9" s="66">
        <f t="shared" si="14"/>
        <v>0.1009506741825737</v>
      </c>
      <c r="AO9" s="83">
        <f t="shared" si="15"/>
        <v>0.85382250877805366</v>
      </c>
      <c r="AP9" s="91">
        <f t="shared" si="12"/>
        <v>8.8228325907065557</v>
      </c>
    </row>
    <row r="10" spans="1:42" x14ac:dyDescent="0.3">
      <c r="A10" s="60" t="s">
        <v>498</v>
      </c>
      <c r="B10" s="60" t="s">
        <v>499</v>
      </c>
      <c r="C10" s="60" t="s">
        <v>491</v>
      </c>
      <c r="D10" s="70">
        <v>163.59</v>
      </c>
      <c r="E10" s="71">
        <f t="shared" si="0"/>
        <v>10.629000000000001</v>
      </c>
      <c r="F10" s="62">
        <f t="shared" si="1"/>
        <v>1738.7981100000002</v>
      </c>
      <c r="G10" s="62">
        <f t="shared" si="2"/>
        <v>2078.3200000000002</v>
      </c>
      <c r="H10" s="62">
        <f t="shared" si="3"/>
        <v>151.97</v>
      </c>
      <c r="I10" s="83">
        <f t="shared" si="4"/>
        <v>0.83663637457176954</v>
      </c>
      <c r="J10" s="84">
        <f t="shared" si="5"/>
        <v>11.441719484108708</v>
      </c>
      <c r="K10" s="66">
        <f t="shared" si="6"/>
        <v>7.588236909579793E-2</v>
      </c>
      <c r="L10" s="69">
        <f t="shared" si="7"/>
        <v>8.8999999999999999E-3</v>
      </c>
      <c r="M10" s="69">
        <f t="shared" si="8"/>
        <v>6.1902032066279145E-2</v>
      </c>
      <c r="N10" s="69">
        <f t="shared" si="9"/>
        <v>6.5500000000000003E-2</v>
      </c>
      <c r="O10" s="69">
        <f t="shared" si="9"/>
        <v>4.2099999999999999E-2</v>
      </c>
      <c r="P10" s="66">
        <f t="shared" si="9"/>
        <v>0.19589999999999999</v>
      </c>
      <c r="Q10" s="66">
        <f t="shared" si="10"/>
        <v>0.29118789695569136</v>
      </c>
      <c r="R10" s="66">
        <f t="shared" si="11"/>
        <v>0.32273684946798609</v>
      </c>
      <c r="S10" s="77">
        <f t="shared" si="13"/>
        <v>1</v>
      </c>
      <c r="T10" s="70">
        <v>106.29</v>
      </c>
      <c r="U10" s="70">
        <v>10</v>
      </c>
      <c r="V10" s="70">
        <v>106.29</v>
      </c>
      <c r="W10" s="70">
        <v>1972.03</v>
      </c>
      <c r="X10" s="70">
        <v>106.28</v>
      </c>
      <c r="Y10" s="70">
        <v>1820.81</v>
      </c>
      <c r="Z10" s="70">
        <v>151.97</v>
      </c>
      <c r="AA10" s="70">
        <v>2160.29</v>
      </c>
      <c r="AB10" s="70">
        <v>1061.58</v>
      </c>
      <c r="AC10" s="70">
        <v>19883.96</v>
      </c>
      <c r="AD10" s="70">
        <v>15614.39</v>
      </c>
      <c r="AE10" s="70">
        <v>12878.76</v>
      </c>
      <c r="AF10" s="70">
        <v>9974.35</v>
      </c>
      <c r="AG10" s="70">
        <v>13994.04</v>
      </c>
      <c r="AH10" s="70">
        <v>10579.61</v>
      </c>
      <c r="AI10" s="87">
        <v>6.5500000000000003E-2</v>
      </c>
      <c r="AJ10" s="87">
        <v>4.2099999999999999E-2</v>
      </c>
      <c r="AK10" s="87">
        <v>0.19589999999999999</v>
      </c>
      <c r="AL10" s="87">
        <v>8.8999999999999999E-3</v>
      </c>
      <c r="AN10" s="66">
        <f t="shared" si="14"/>
        <v>7.588236909579793E-2</v>
      </c>
      <c r="AO10" s="83">
        <f t="shared" si="15"/>
        <v>0.83663637457176954</v>
      </c>
      <c r="AP10" s="91">
        <f t="shared" si="12"/>
        <v>11.441719484108708</v>
      </c>
    </row>
    <row r="11" spans="1:42" x14ac:dyDescent="0.3">
      <c r="A11" s="60" t="s">
        <v>500</v>
      </c>
      <c r="B11" s="60" t="s">
        <v>501</v>
      </c>
      <c r="C11" s="60" t="s">
        <v>491</v>
      </c>
      <c r="D11" s="70">
        <v>28.61</v>
      </c>
      <c r="E11" s="71">
        <f t="shared" si="0"/>
        <v>51.565999999999995</v>
      </c>
      <c r="F11" s="62">
        <f t="shared" si="1"/>
        <v>1475.3032599999999</v>
      </c>
      <c r="G11" s="62">
        <f t="shared" si="2"/>
        <v>1780.04</v>
      </c>
      <c r="H11" s="62">
        <f t="shared" si="3"/>
        <v>-166.4</v>
      </c>
      <c r="I11" s="83">
        <f t="shared" si="4"/>
        <v>0.82880343138356438</v>
      </c>
      <c r="J11" s="84" t="str">
        <f t="shared" si="5"/>
        <v>n.m.</v>
      </c>
      <c r="K11" s="66">
        <f t="shared" si="6"/>
        <v>-8.9341082670031283E-2</v>
      </c>
      <c r="L11" s="69">
        <f t="shared" si="7"/>
        <v>-6.0000000000000001E-3</v>
      </c>
      <c r="M11" s="69">
        <f t="shared" si="8"/>
        <v>8.650995145769054E-2</v>
      </c>
      <c r="N11" s="69">
        <f t="shared" si="9"/>
        <v>5.4100000000000002E-2</v>
      </c>
      <c r="O11" s="69">
        <f t="shared" si="9"/>
        <v>1.77E-2</v>
      </c>
      <c r="P11" s="66">
        <f t="shared" si="9"/>
        <v>0.14230000000000001</v>
      </c>
      <c r="Q11" s="66">
        <f t="shared" si="10"/>
        <v>0.19782425766327383</v>
      </c>
      <c r="R11" s="66">
        <f t="shared" si="11"/>
        <v>0.11057189157792169</v>
      </c>
      <c r="S11" s="77">
        <f t="shared" si="13"/>
        <v>0</v>
      </c>
      <c r="T11" s="70">
        <v>515.66</v>
      </c>
      <c r="U11" s="70">
        <v>10</v>
      </c>
      <c r="V11" s="70">
        <v>515.66</v>
      </c>
      <c r="W11" s="70">
        <v>1264.3800000000001</v>
      </c>
      <c r="X11" s="70">
        <v>515.42999999999995</v>
      </c>
      <c r="Y11" s="70">
        <v>1429.58</v>
      </c>
      <c r="Z11" s="70">
        <v>-166.4</v>
      </c>
      <c r="AA11" s="70">
        <v>4348.2299999999996</v>
      </c>
      <c r="AB11" s="70">
        <v>1837.44</v>
      </c>
      <c r="AC11" s="70">
        <v>30867.98</v>
      </c>
      <c r="AD11" s="70">
        <v>27178.29</v>
      </c>
      <c r="AE11" s="70">
        <v>21594.22</v>
      </c>
      <c r="AF11" s="70">
        <v>18027.87</v>
      </c>
      <c r="AG11" s="70">
        <v>25850.16</v>
      </c>
      <c r="AH11" s="70">
        <v>23276.44</v>
      </c>
      <c r="AI11" s="87">
        <v>5.4100000000000002E-2</v>
      </c>
      <c r="AJ11" s="87">
        <v>1.77E-2</v>
      </c>
      <c r="AK11" s="87">
        <v>0.14230000000000001</v>
      </c>
      <c r="AL11" s="87">
        <v>-6.0000000000000001E-3</v>
      </c>
      <c r="AN11" s="66" t="str">
        <f t="shared" si="14"/>
        <v/>
      </c>
      <c r="AO11" s="83" t="str">
        <f t="shared" si="15"/>
        <v/>
      </c>
      <c r="AP11" s="91" t="str">
        <f t="shared" si="12"/>
        <v/>
      </c>
    </row>
    <row r="12" spans="1:42" x14ac:dyDescent="0.3">
      <c r="A12" s="60" t="s">
        <v>502</v>
      </c>
      <c r="B12" s="60" t="s">
        <v>503</v>
      </c>
      <c r="C12" s="60" t="s">
        <v>491</v>
      </c>
      <c r="D12" s="70">
        <v>13.26</v>
      </c>
      <c r="E12" s="71">
        <f t="shared" si="0"/>
        <v>177.952</v>
      </c>
      <c r="F12" s="62">
        <f t="shared" si="1"/>
        <v>2359.6435200000001</v>
      </c>
      <c r="G12" s="62">
        <f t="shared" si="2"/>
        <v>2775.6</v>
      </c>
      <c r="H12" s="62">
        <f t="shared" si="3"/>
        <v>-1150.98</v>
      </c>
      <c r="I12" s="83">
        <f t="shared" si="4"/>
        <v>0.85013817552961524</v>
      </c>
      <c r="J12" s="84" t="str">
        <f t="shared" si="5"/>
        <v>n.m.</v>
      </c>
      <c r="K12" s="66">
        <f t="shared" si="6"/>
        <v>-0.40033390723639589</v>
      </c>
      <c r="L12" s="69">
        <f t="shared" si="7"/>
        <v>-4.1599999999999998E-2</v>
      </c>
      <c r="M12" s="69">
        <f t="shared" si="8"/>
        <v>5.1818611350063375E-2</v>
      </c>
      <c r="N12" s="69">
        <f t="shared" si="9"/>
        <v>7.7100000000000002E-2</v>
      </c>
      <c r="O12" s="69">
        <f t="shared" si="9"/>
        <v>3.2899999999999999E-2</v>
      </c>
      <c r="P12" s="66">
        <f t="shared" si="9"/>
        <v>0.14979999999999999</v>
      </c>
      <c r="Q12" s="66">
        <f t="shared" si="10"/>
        <v>-3.4562588691890772E-2</v>
      </c>
      <c r="R12" s="66">
        <f t="shared" si="11"/>
        <v>4.0935374228519006E-3</v>
      </c>
      <c r="S12" s="77">
        <f t="shared" si="13"/>
        <v>0</v>
      </c>
      <c r="T12" s="70">
        <v>1779.52</v>
      </c>
      <c r="U12" s="70">
        <v>10</v>
      </c>
      <c r="V12" s="70">
        <v>1779.52</v>
      </c>
      <c r="W12" s="70">
        <v>996.08</v>
      </c>
      <c r="X12" s="70">
        <v>1101.6099999999999</v>
      </c>
      <c r="Y12" s="70">
        <v>1872.89</v>
      </c>
      <c r="Z12" s="70">
        <v>-1150.98</v>
      </c>
      <c r="AA12" s="70">
        <v>3378.78</v>
      </c>
      <c r="AB12" s="70">
        <v>1902.04</v>
      </c>
      <c r="AC12" s="70">
        <v>28869.07</v>
      </c>
      <c r="AD12" s="70">
        <v>28127.439999999999</v>
      </c>
      <c r="AE12" s="70">
        <v>18069.59</v>
      </c>
      <c r="AF12" s="70">
        <v>18716.48</v>
      </c>
      <c r="AG12" s="70">
        <v>21653.98</v>
      </c>
      <c r="AH12" s="70">
        <v>21565.7</v>
      </c>
      <c r="AI12" s="87">
        <v>7.7100000000000002E-2</v>
      </c>
      <c r="AJ12" s="87">
        <v>3.2899999999999999E-2</v>
      </c>
      <c r="AK12" s="87">
        <v>0.14979999999999999</v>
      </c>
      <c r="AL12" s="87">
        <v>-4.1599999999999998E-2</v>
      </c>
      <c r="AN12" s="66" t="str">
        <f t="shared" si="14"/>
        <v/>
      </c>
      <c r="AO12" s="83" t="str">
        <f t="shared" si="15"/>
        <v/>
      </c>
      <c r="AP12" s="91" t="str">
        <f t="shared" si="12"/>
        <v/>
      </c>
    </row>
    <row r="13" spans="1:42" x14ac:dyDescent="0.3">
      <c r="A13" s="60" t="s">
        <v>504</v>
      </c>
      <c r="B13" s="60" t="s">
        <v>505</v>
      </c>
      <c r="C13" s="60" t="s">
        <v>506</v>
      </c>
      <c r="D13" s="70">
        <v>71.319999999999993</v>
      </c>
      <c r="E13" s="71">
        <f t="shared" si="0"/>
        <v>860.17000000000007</v>
      </c>
      <c r="F13" s="62">
        <f t="shared" si="1"/>
        <v>61347.324399999998</v>
      </c>
      <c r="G13" s="62">
        <f t="shared" si="2"/>
        <v>47351.839999999997</v>
      </c>
      <c r="H13" s="62">
        <f t="shared" si="3"/>
        <v>1636.36</v>
      </c>
      <c r="I13" s="83">
        <f t="shared" si="4"/>
        <v>1.2955636866487132</v>
      </c>
      <c r="J13" s="84">
        <f t="shared" si="5"/>
        <v>37.490114889144202</v>
      </c>
      <c r="K13" s="66">
        <f t="shared" si="6"/>
        <v>3.8308862570736409E-2</v>
      </c>
      <c r="L13" s="69">
        <f t="shared" si="7"/>
        <v>4.4000000000000003E-3</v>
      </c>
      <c r="M13" s="69">
        <f t="shared" si="8"/>
        <v>5.7061070329409116E-2</v>
      </c>
      <c r="N13" s="69">
        <f t="shared" si="9"/>
        <v>1.61E-2</v>
      </c>
      <c r="O13" s="69">
        <f t="shared" si="9"/>
        <v>4.7999999999999996E-3</v>
      </c>
      <c r="P13" s="66">
        <f t="shared" si="9"/>
        <v>0.13730000000000001</v>
      </c>
      <c r="Q13" s="66">
        <f t="shared" si="10"/>
        <v>0.20281222120492615</v>
      </c>
      <c r="R13" s="66">
        <f t="shared" si="11"/>
        <v>0.16824730898051188</v>
      </c>
      <c r="S13" s="77">
        <f t="shared" si="13"/>
        <v>0</v>
      </c>
      <c r="T13" s="70">
        <v>8601.7000000000007</v>
      </c>
      <c r="U13" s="70">
        <v>10</v>
      </c>
      <c r="V13" s="70">
        <v>8889.57</v>
      </c>
      <c r="W13" s="70">
        <v>38462.269999999997</v>
      </c>
      <c r="X13" s="70">
        <v>7322.11</v>
      </c>
      <c r="Y13" s="70">
        <v>30755.89</v>
      </c>
      <c r="Z13" s="70">
        <v>1636.36</v>
      </c>
      <c r="AA13" s="70">
        <v>40548.82</v>
      </c>
      <c r="AB13" s="70">
        <v>19333.55</v>
      </c>
      <c r="AC13" s="70">
        <v>399780.09</v>
      </c>
      <c r="AD13" s="70">
        <v>343818.65</v>
      </c>
      <c r="AE13" s="70">
        <v>280390.59999999998</v>
      </c>
      <c r="AF13" s="70">
        <v>233112.53</v>
      </c>
      <c r="AG13" s="70">
        <v>294474.55</v>
      </c>
      <c r="AH13" s="70">
        <v>252065.25</v>
      </c>
      <c r="AI13" s="87">
        <v>1.61E-2</v>
      </c>
      <c r="AJ13" s="87">
        <v>4.7999999999999996E-3</v>
      </c>
      <c r="AK13" s="87">
        <v>0.13730000000000001</v>
      </c>
      <c r="AL13" s="87">
        <v>4.4000000000000003E-3</v>
      </c>
      <c r="AN13" s="66" t="str">
        <f t="shared" si="14"/>
        <v/>
      </c>
      <c r="AO13" s="83" t="str">
        <f t="shared" si="15"/>
        <v/>
      </c>
      <c r="AP13" s="91">
        <f t="shared" si="12"/>
        <v>37.490114889144202</v>
      </c>
    </row>
    <row r="14" spans="1:42" x14ac:dyDescent="0.3">
      <c r="A14" s="60" t="s">
        <v>507</v>
      </c>
      <c r="B14" s="60" t="s">
        <v>508</v>
      </c>
      <c r="C14" s="60" t="s">
        <v>506</v>
      </c>
      <c r="D14" s="70">
        <v>208.3</v>
      </c>
      <c r="E14" s="71">
        <f t="shared" si="0"/>
        <v>161.09700000000001</v>
      </c>
      <c r="F14" s="62">
        <f t="shared" si="1"/>
        <v>33556.505100000002</v>
      </c>
      <c r="G14" s="62">
        <f t="shared" si="2"/>
        <v>25574.89</v>
      </c>
      <c r="H14" s="62">
        <f t="shared" si="3"/>
        <v>1223.56</v>
      </c>
      <c r="I14" s="83">
        <f t="shared" si="4"/>
        <v>1.3120879542394905</v>
      </c>
      <c r="J14" s="84">
        <f t="shared" si="5"/>
        <v>27.425304112589497</v>
      </c>
      <c r="K14" s="66">
        <f t="shared" si="6"/>
        <v>4.8766936562249022E-2</v>
      </c>
      <c r="L14" s="69">
        <f t="shared" si="7"/>
        <v>6.4000000000000003E-3</v>
      </c>
      <c r="M14" s="69">
        <f t="shared" si="8"/>
        <v>5.3798755399962477E-2</v>
      </c>
      <c r="N14" s="69">
        <f t="shared" si="9"/>
        <v>3.27E-2</v>
      </c>
      <c r="O14" s="69">
        <f t="shared" si="9"/>
        <v>9.7000000000000003E-3</v>
      </c>
      <c r="P14" s="66">
        <f t="shared" si="9"/>
        <v>0.1804</v>
      </c>
      <c r="Q14" s="66">
        <f t="shared" si="10"/>
        <v>0.13725909428269323</v>
      </c>
      <c r="R14" s="66">
        <f t="shared" si="11"/>
        <v>0.10007076134578829</v>
      </c>
      <c r="S14" s="77">
        <f t="shared" si="13"/>
        <v>0</v>
      </c>
      <c r="T14" s="70">
        <v>1610.97</v>
      </c>
      <c r="U14" s="70">
        <v>10</v>
      </c>
      <c r="V14" s="70">
        <v>1610.97</v>
      </c>
      <c r="W14" s="70">
        <v>23963.919999999998</v>
      </c>
      <c r="X14" s="70">
        <v>1610.97</v>
      </c>
      <c r="Y14" s="70">
        <v>22994.04</v>
      </c>
      <c r="Z14" s="70">
        <v>1223.56</v>
      </c>
      <c r="AA14" s="70">
        <v>21689.11</v>
      </c>
      <c r="AB14" s="70">
        <v>10859.42</v>
      </c>
      <c r="AC14" s="70">
        <v>211123.73</v>
      </c>
      <c r="AD14" s="70">
        <v>191476.29</v>
      </c>
      <c r="AE14" s="70">
        <v>150103.78</v>
      </c>
      <c r="AF14" s="70">
        <v>131987.32</v>
      </c>
      <c r="AG14" s="70">
        <v>166344.45000000001</v>
      </c>
      <c r="AH14" s="70">
        <v>151212.5</v>
      </c>
      <c r="AI14" s="87">
        <v>3.27E-2</v>
      </c>
      <c r="AJ14" s="87">
        <v>9.7000000000000003E-3</v>
      </c>
      <c r="AK14" s="87">
        <v>0.1804</v>
      </c>
      <c r="AL14" s="87">
        <v>6.4000000000000003E-3</v>
      </c>
      <c r="AN14" s="66" t="str">
        <f t="shared" si="14"/>
        <v/>
      </c>
      <c r="AO14" s="83" t="str">
        <f t="shared" si="15"/>
        <v/>
      </c>
      <c r="AP14" s="91">
        <f t="shared" si="12"/>
        <v>27.425304112589497</v>
      </c>
    </row>
    <row r="15" spans="1:42" x14ac:dyDescent="0.3">
      <c r="A15" s="60" t="s">
        <v>509</v>
      </c>
      <c r="B15" s="60" t="s">
        <v>510</v>
      </c>
      <c r="C15" s="60" t="s">
        <v>506</v>
      </c>
      <c r="D15" s="70">
        <v>345</v>
      </c>
      <c r="E15" s="71">
        <f t="shared" si="0"/>
        <v>61.811</v>
      </c>
      <c r="F15" s="62">
        <f t="shared" si="1"/>
        <v>21324.794999999998</v>
      </c>
      <c r="G15" s="62">
        <f t="shared" si="2"/>
        <v>16604.900000000001</v>
      </c>
      <c r="H15" s="62">
        <f t="shared" si="3"/>
        <v>822.44</v>
      </c>
      <c r="I15" s="83">
        <f t="shared" si="4"/>
        <v>1.2842471198260752</v>
      </c>
      <c r="J15" s="84">
        <f t="shared" si="5"/>
        <v>25.928693886484115</v>
      </c>
      <c r="K15" s="66">
        <f t="shared" si="6"/>
        <v>5.1064691110587493E-2</v>
      </c>
      <c r="L15" s="69">
        <f t="shared" si="7"/>
        <v>5.3E-3</v>
      </c>
      <c r="M15" s="69">
        <f t="shared" si="8"/>
        <v>3.8847526753053474E-2</v>
      </c>
      <c r="N15" s="69">
        <f t="shared" si="9"/>
        <v>1.4500000000000001E-2</v>
      </c>
      <c r="O15" s="69">
        <f t="shared" si="9"/>
        <v>3.8999999999999998E-3</v>
      </c>
      <c r="P15" s="66">
        <f t="shared" si="9"/>
        <v>0.12770000000000001</v>
      </c>
      <c r="Q15" s="66">
        <f t="shared" si="10"/>
        <v>0.23336292072827525</v>
      </c>
      <c r="R15" s="66">
        <f t="shared" si="11"/>
        <v>0.25304810474301642</v>
      </c>
      <c r="S15" s="77">
        <f t="shared" si="13"/>
        <v>1</v>
      </c>
      <c r="T15" s="70">
        <v>618.11</v>
      </c>
      <c r="U15" s="70">
        <v>10</v>
      </c>
      <c r="V15" s="70">
        <v>618.11</v>
      </c>
      <c r="W15" s="70">
        <v>15986.79</v>
      </c>
      <c r="X15" s="70">
        <v>607.88</v>
      </c>
      <c r="Y15" s="70">
        <v>14998.91</v>
      </c>
      <c r="Z15" s="70">
        <v>822.44</v>
      </c>
      <c r="AA15" s="70">
        <v>14335.55</v>
      </c>
      <c r="AB15" s="70">
        <v>7976.01</v>
      </c>
      <c r="AC15" s="70">
        <v>180684.81</v>
      </c>
      <c r="AD15" s="70">
        <v>146725.48000000001</v>
      </c>
      <c r="AE15" s="70">
        <v>114231.94</v>
      </c>
      <c r="AF15" s="70">
        <v>92618.27</v>
      </c>
      <c r="AG15" s="70">
        <v>139017.57999999999</v>
      </c>
      <c r="AH15" s="70">
        <v>110943.53</v>
      </c>
      <c r="AI15" s="87">
        <v>1.4500000000000001E-2</v>
      </c>
      <c r="AJ15" s="87">
        <v>3.8999999999999998E-3</v>
      </c>
      <c r="AK15" s="87">
        <v>0.12770000000000001</v>
      </c>
      <c r="AL15" s="87">
        <v>5.3E-3</v>
      </c>
      <c r="AN15" s="66">
        <f t="shared" si="14"/>
        <v>5.1064691110587493E-2</v>
      </c>
      <c r="AO15" s="83">
        <f t="shared" si="15"/>
        <v>1.2842471198260752</v>
      </c>
      <c r="AP15" s="91">
        <f t="shared" si="12"/>
        <v>25.928693886484115</v>
      </c>
    </row>
    <row r="16" spans="1:42" x14ac:dyDescent="0.3">
      <c r="A16" s="60" t="s">
        <v>511</v>
      </c>
      <c r="B16" s="60" t="s">
        <v>512</v>
      </c>
      <c r="C16" s="60" t="s">
        <v>506</v>
      </c>
      <c r="D16" s="70">
        <v>288.95</v>
      </c>
      <c r="E16" s="71">
        <f t="shared" si="0"/>
        <v>246.43</v>
      </c>
      <c r="F16" s="62">
        <f t="shared" si="1"/>
        <v>71205.948499999999</v>
      </c>
      <c r="G16" s="62">
        <f t="shared" si="2"/>
        <v>38705.07</v>
      </c>
      <c r="H16" s="62">
        <f t="shared" si="3"/>
        <v>4117.32</v>
      </c>
      <c r="I16" s="83">
        <f t="shared" si="4"/>
        <v>1.8397059739202124</v>
      </c>
      <c r="J16" s="84">
        <f t="shared" si="5"/>
        <v>17.294246864465237</v>
      </c>
      <c r="K16" s="66">
        <f t="shared" si="6"/>
        <v>0.11417069285576331</v>
      </c>
      <c r="L16" s="69">
        <f t="shared" si="7"/>
        <v>1.15E-2</v>
      </c>
      <c r="M16" s="69">
        <f t="shared" si="8"/>
        <v>2.8939659438361662E-2</v>
      </c>
      <c r="N16" s="69">
        <f t="shared" si="9"/>
        <v>1.6199999999999999E-2</v>
      </c>
      <c r="O16" s="69">
        <f t="shared" si="9"/>
        <v>2E-3</v>
      </c>
      <c r="P16" s="66">
        <f t="shared" si="9"/>
        <v>0.1593</v>
      </c>
      <c r="Q16" s="66">
        <f t="shared" si="10"/>
        <v>0.12671792476455623</v>
      </c>
      <c r="R16" s="66">
        <f t="shared" si="11"/>
        <v>0.10668848906002948</v>
      </c>
      <c r="S16" s="77">
        <f t="shared" si="13"/>
        <v>1</v>
      </c>
      <c r="T16" s="70">
        <v>492.86</v>
      </c>
      <c r="U16" s="70">
        <v>2</v>
      </c>
      <c r="V16" s="70">
        <v>492.86</v>
      </c>
      <c r="W16" s="70">
        <v>38212.21</v>
      </c>
      <c r="X16" s="70">
        <v>491.17</v>
      </c>
      <c r="Y16" s="70">
        <v>32929.449999999997</v>
      </c>
      <c r="Z16" s="70">
        <v>4117.32</v>
      </c>
      <c r="AA16" s="70">
        <v>27695.38</v>
      </c>
      <c r="AB16" s="70">
        <v>17037.97</v>
      </c>
      <c r="AC16" s="70">
        <v>387521.49</v>
      </c>
      <c r="AD16" s="70">
        <v>349004.79999999999</v>
      </c>
      <c r="AE16" s="70">
        <v>264594.37</v>
      </c>
      <c r="AF16" s="70">
        <v>234836.39</v>
      </c>
      <c r="AG16" s="70">
        <v>313909.39</v>
      </c>
      <c r="AH16" s="70">
        <v>283647.46999999997</v>
      </c>
      <c r="AI16" s="87">
        <v>1.6199999999999999E-2</v>
      </c>
      <c r="AJ16" s="87">
        <v>2E-3</v>
      </c>
      <c r="AK16" s="87">
        <v>0.1593</v>
      </c>
      <c r="AL16" s="87">
        <v>1.15E-2</v>
      </c>
      <c r="AN16" s="66">
        <f t="shared" si="14"/>
        <v>0.11417069285576331</v>
      </c>
      <c r="AO16" s="83">
        <f t="shared" si="15"/>
        <v>1.8397059739202124</v>
      </c>
      <c r="AP16" s="91">
        <f t="shared" si="12"/>
        <v>17.294246864465237</v>
      </c>
    </row>
    <row r="17" spans="1:42" x14ac:dyDescent="0.3">
      <c r="A17" s="60" t="s">
        <v>513</v>
      </c>
      <c r="B17" s="60" t="s">
        <v>514</v>
      </c>
      <c r="C17" s="60" t="s">
        <v>506</v>
      </c>
      <c r="D17" s="70">
        <v>255.45</v>
      </c>
      <c r="E17" s="71">
        <f t="shared" si="0"/>
        <v>74.3</v>
      </c>
      <c r="F17" s="62">
        <f t="shared" si="1"/>
        <v>18979.934999999998</v>
      </c>
      <c r="G17" s="62">
        <f t="shared" si="2"/>
        <v>10564.859999999999</v>
      </c>
      <c r="H17" s="62">
        <f t="shared" si="3"/>
        <v>1326.23</v>
      </c>
      <c r="I17" s="83">
        <f t="shared" si="4"/>
        <v>1.7965155241053834</v>
      </c>
      <c r="J17" s="84">
        <f t="shared" si="5"/>
        <v>14.311194136763605</v>
      </c>
      <c r="K17" s="66">
        <f t="shared" si="6"/>
        <v>0.13241457945194265</v>
      </c>
      <c r="L17" s="69">
        <f t="shared" si="7"/>
        <v>1.5599999999999999E-2</v>
      </c>
      <c r="M17" s="69">
        <f t="shared" si="8"/>
        <v>3.2406283716106966E-2</v>
      </c>
      <c r="N17" s="69">
        <f t="shared" si="9"/>
        <v>1.9099999999999999E-2</v>
      </c>
      <c r="O17" s="69">
        <f t="shared" si="9"/>
        <v>6.7999999999999996E-3</v>
      </c>
      <c r="P17" s="66">
        <f t="shared" si="9"/>
        <v>0.2082</v>
      </c>
      <c r="Q17" s="66">
        <f t="shared" si="10"/>
        <v>0.26485385815432605</v>
      </c>
      <c r="R17" s="66">
        <f t="shared" si="11"/>
        <v>0.23269230920592299</v>
      </c>
      <c r="S17" s="77">
        <f t="shared" si="13"/>
        <v>1</v>
      </c>
      <c r="T17" s="70">
        <v>74.3</v>
      </c>
      <c r="U17" s="70">
        <v>1</v>
      </c>
      <c r="V17" s="70">
        <v>74.3</v>
      </c>
      <c r="W17" s="70">
        <v>10490.56</v>
      </c>
      <c r="X17" s="70">
        <v>74.099999999999994</v>
      </c>
      <c r="Y17" s="70">
        <v>9392.52</v>
      </c>
      <c r="Z17" s="70">
        <v>1326.23</v>
      </c>
      <c r="AA17" s="70">
        <v>6869.76</v>
      </c>
      <c r="AB17" s="70">
        <v>4039.92</v>
      </c>
      <c r="AC17" s="70">
        <v>97024.4</v>
      </c>
      <c r="AD17" s="70">
        <v>77623.210000000006</v>
      </c>
      <c r="AE17" s="70">
        <v>65875.17</v>
      </c>
      <c r="AF17" s="70">
        <v>52081.25</v>
      </c>
      <c r="AG17" s="70">
        <v>78307.95</v>
      </c>
      <c r="AH17" s="70">
        <v>63525.95</v>
      </c>
      <c r="AI17" s="87">
        <v>1.9099999999999999E-2</v>
      </c>
      <c r="AJ17" s="87">
        <v>6.7999999999999996E-3</v>
      </c>
      <c r="AK17" s="87">
        <v>0.2082</v>
      </c>
      <c r="AL17" s="87">
        <v>1.5599999999999999E-2</v>
      </c>
      <c r="AN17" s="66">
        <f t="shared" si="14"/>
        <v>0.13241457945194265</v>
      </c>
      <c r="AO17" s="83">
        <f t="shared" si="15"/>
        <v>1.7965155241053834</v>
      </c>
      <c r="AP17" s="91">
        <f t="shared" si="12"/>
        <v>14.311194136763605</v>
      </c>
    </row>
    <row r="19" spans="1:42" x14ac:dyDescent="0.3">
      <c r="A19" s="63" t="s">
        <v>515</v>
      </c>
    </row>
    <row r="20" spans="1:42" x14ac:dyDescent="0.3">
      <c r="A20" s="60" t="s">
        <v>516</v>
      </c>
      <c r="I20" s="83">
        <f>MEDIAN(I6:I12)</f>
        <v>0.85382250877805366</v>
      </c>
      <c r="J20" s="84">
        <f>MEDIAN(AP6:AP12)</f>
        <v>15.255475058833721</v>
      </c>
      <c r="K20" s="66">
        <f t="shared" ref="K20:R20" si="16">MEDIAN(K6:K12)</f>
        <v>7.588236909579793E-2</v>
      </c>
      <c r="L20" s="66">
        <f t="shared" si="16"/>
        <v>8.8999999999999999E-3</v>
      </c>
      <c r="M20" s="66">
        <f t="shared" si="16"/>
        <v>6.036757657748365E-2</v>
      </c>
      <c r="N20" s="66">
        <f t="shared" si="16"/>
        <v>2.5999999999999999E-2</v>
      </c>
      <c r="O20" s="66">
        <f t="shared" si="16"/>
        <v>1.24E-2</v>
      </c>
      <c r="P20" s="66">
        <f t="shared" si="16"/>
        <v>0.17510000000000001</v>
      </c>
      <c r="Q20" s="66">
        <f t="shared" si="16"/>
        <v>0.20901812171121747</v>
      </c>
      <c r="R20" s="66">
        <f t="shared" si="16"/>
        <v>0.20366832480234542</v>
      </c>
    </row>
    <row r="21" spans="1:42" x14ac:dyDescent="0.3">
      <c r="A21" s="60" t="s">
        <v>517</v>
      </c>
      <c r="I21" s="83">
        <f>MEDIAN(I13:I17)</f>
        <v>1.3120879542394905</v>
      </c>
      <c r="J21" s="84">
        <f>MEDIAN(AP13:AP17)</f>
        <v>25.928693886484115</v>
      </c>
      <c r="K21" s="66">
        <f t="shared" ref="K21:R21" si="17">MEDIAN(K13:K17)</f>
        <v>5.1064691110587493E-2</v>
      </c>
      <c r="L21" s="66">
        <f t="shared" si="17"/>
        <v>6.4000000000000003E-3</v>
      </c>
      <c r="M21" s="66">
        <f t="shared" si="17"/>
        <v>3.8847526753053474E-2</v>
      </c>
      <c r="N21" s="66">
        <f t="shared" si="17"/>
        <v>1.6199999999999999E-2</v>
      </c>
      <c r="O21" s="66">
        <f t="shared" si="17"/>
        <v>4.7999999999999996E-3</v>
      </c>
      <c r="P21" s="66">
        <f t="shared" si="17"/>
        <v>0.1593</v>
      </c>
      <c r="Q21" s="66">
        <f t="shared" si="17"/>
        <v>0.20281222120492615</v>
      </c>
      <c r="R21" s="66">
        <f t="shared" si="17"/>
        <v>0.16824730898051188</v>
      </c>
    </row>
    <row r="22" spans="1:42" x14ac:dyDescent="0.3">
      <c r="A22" s="60" t="s">
        <v>518</v>
      </c>
      <c r="I22" s="83">
        <f>MEDIAN(I6:I17)</f>
        <v>1.2899054032373942</v>
      </c>
      <c r="J22" s="84">
        <f>MEDIAN(AP6:AP17)</f>
        <v>16.63654382864226</v>
      </c>
      <c r="K22" s="66">
        <f t="shared" ref="K22:R22" si="18">MEDIAN(K6:K17)</f>
        <v>6.3473530103192705E-2</v>
      </c>
      <c r="L22" s="66">
        <f t="shared" si="18"/>
        <v>7.6500000000000005E-3</v>
      </c>
      <c r="M22" s="66">
        <f t="shared" si="18"/>
        <v>5.5429912864685793E-2</v>
      </c>
      <c r="N22" s="66">
        <f t="shared" si="18"/>
        <v>2.5000000000000001E-2</v>
      </c>
      <c r="O22" s="66">
        <f t="shared" si="18"/>
        <v>8.199999999999999E-3</v>
      </c>
      <c r="P22" s="66">
        <f t="shared" si="18"/>
        <v>0.17094999999999999</v>
      </c>
      <c r="Q22" s="66">
        <f t="shared" si="18"/>
        <v>0.20591517145807181</v>
      </c>
      <c r="R22" s="66">
        <f t="shared" si="18"/>
        <v>0.18595781689142865</v>
      </c>
    </row>
    <row r="23" spans="1:42" x14ac:dyDescent="0.3">
      <c r="A23" s="54" t="s">
        <v>519</v>
      </c>
    </row>
    <row r="25" spans="1:42" x14ac:dyDescent="0.3">
      <c r="A25" s="63" t="s">
        <v>520</v>
      </c>
    </row>
    <row r="26" spans="1:42" x14ac:dyDescent="0.3">
      <c r="A26" s="60" t="s">
        <v>521</v>
      </c>
      <c r="C26" s="77">
        <f>SUM(S6:S17)</f>
        <v>7</v>
      </c>
    </row>
    <row r="27" spans="1:42" x14ac:dyDescent="0.3">
      <c r="A27" s="60" t="s">
        <v>522</v>
      </c>
      <c r="C27" s="92">
        <f>SLOPE(AO6:AO17,AN6:AN17)</f>
        <v>9.0504888305460032</v>
      </c>
    </row>
    <row r="28" spans="1:42" x14ac:dyDescent="0.3">
      <c r="A28" s="60" t="s">
        <v>523</v>
      </c>
      <c r="C28" s="92">
        <f>INTERCEPT(AO6:AO17,AN6:AN17)</f>
        <v>0.48197687258452904</v>
      </c>
    </row>
    <row r="29" spans="1:42" x14ac:dyDescent="0.3">
      <c r="A29" s="60" t="s">
        <v>524</v>
      </c>
      <c r="C29" s="92">
        <f>RSQ(AO6:AO17,AN6:AN17)</f>
        <v>0.36810239726125371</v>
      </c>
    </row>
    <row r="30" spans="1:42" x14ac:dyDescent="0.3">
      <c r="A30" s="60" t="s">
        <v>525</v>
      </c>
      <c r="C30" s="83">
        <f>C28+C27*K5</f>
        <v>1.7692537897289202</v>
      </c>
    </row>
    <row r="31" spans="1:42" x14ac:dyDescent="0.3">
      <c r="A31" s="60" t="s">
        <v>526</v>
      </c>
      <c r="C31" s="83">
        <f>I5</f>
        <v>3.6889915698384663</v>
      </c>
    </row>
    <row r="32" spans="1:42" x14ac:dyDescent="0.3">
      <c r="A32" s="51" t="s">
        <v>527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E554-69A8-4873-8049-F3CABCD18C7C}">
  <dimension ref="A1:F108"/>
  <sheetViews>
    <sheetView showGridLines="0" zoomScaleNormal="100" workbookViewId="0"/>
  </sheetViews>
  <sheetFormatPr defaultColWidth="8.6640625" defaultRowHeight="13.8" x14ac:dyDescent="0.3"/>
  <cols>
    <col min="1" max="1" width="12" style="50" customWidth="1"/>
    <col min="2" max="5" width="14" style="50" customWidth="1"/>
    <col min="6" max="6" width="40" style="50" customWidth="1"/>
    <col min="7" max="16384" width="8.6640625" style="50"/>
  </cols>
  <sheetData>
    <row r="1" spans="1:6" ht="18" x14ac:dyDescent="0.35">
      <c r="A1" s="49" t="s">
        <v>528</v>
      </c>
    </row>
    <row r="3" spans="1:6" x14ac:dyDescent="0.3">
      <c r="A3" s="52" t="s">
        <v>529</v>
      </c>
      <c r="B3" s="53" t="s">
        <v>530</v>
      </c>
      <c r="C3" s="53" t="s">
        <v>531</v>
      </c>
      <c r="D3" s="53" t="s">
        <v>532</v>
      </c>
      <c r="E3" s="53" t="s">
        <v>533</v>
      </c>
      <c r="F3" s="52" t="s">
        <v>534</v>
      </c>
    </row>
    <row r="4" spans="1:6" x14ac:dyDescent="0.3">
      <c r="A4" s="93" t="s">
        <v>535</v>
      </c>
      <c r="B4" s="70">
        <v>653.1</v>
      </c>
      <c r="C4" s="70">
        <v>22530.7</v>
      </c>
      <c r="F4" s="94">
        <f>SLOPE(D5:D108,E5:E108)</f>
        <v>1.0232624225880611</v>
      </c>
    </row>
    <row r="5" spans="1:6" x14ac:dyDescent="0.3">
      <c r="A5" s="93" t="s">
        <v>536</v>
      </c>
      <c r="B5" s="70">
        <v>669</v>
      </c>
      <c r="C5" s="70">
        <v>23290.15</v>
      </c>
      <c r="D5" s="81">
        <f t="shared" ref="D5:E36" si="0">LN(B5/B4)</f>
        <v>2.4053803219616952E-2</v>
      </c>
      <c r="E5" s="81">
        <f t="shared" si="0"/>
        <v>3.3151700761561931E-2</v>
      </c>
      <c r="F5" s="68">
        <f>CORREL(D5:D108,E5:E108)</f>
        <v>0.45613512866568695</v>
      </c>
    </row>
    <row r="6" spans="1:6" x14ac:dyDescent="0.3">
      <c r="A6" s="93" t="s">
        <v>537</v>
      </c>
      <c r="B6" s="70">
        <v>661.25</v>
      </c>
      <c r="C6" s="70">
        <v>23465.599999999999</v>
      </c>
      <c r="D6" s="81">
        <f t="shared" si="0"/>
        <v>-1.1652076955719366E-2</v>
      </c>
      <c r="E6" s="81">
        <f t="shared" si="0"/>
        <v>7.5049945094164735E-3</v>
      </c>
      <c r="F6" s="68">
        <f>0.67*F4+0.33</f>
        <v>1.0155858231340009</v>
      </c>
    </row>
    <row r="7" spans="1:6" x14ac:dyDescent="0.3">
      <c r="A7" s="93" t="s">
        <v>538</v>
      </c>
      <c r="B7" s="70">
        <v>667.6</v>
      </c>
      <c r="C7" s="70">
        <v>23501.1</v>
      </c>
      <c r="D7" s="81">
        <f t="shared" si="0"/>
        <v>9.5572086151709031E-3</v>
      </c>
      <c r="E7" s="81">
        <f t="shared" si="0"/>
        <v>1.511709647924193E-3</v>
      </c>
      <c r="F7" s="95" t="s">
        <v>539</v>
      </c>
    </row>
    <row r="8" spans="1:6" x14ac:dyDescent="0.3">
      <c r="A8" s="93" t="s">
        <v>540</v>
      </c>
      <c r="B8" s="70">
        <v>672.05</v>
      </c>
      <c r="C8" s="70">
        <v>24010.6</v>
      </c>
      <c r="D8" s="81">
        <f t="shared" si="0"/>
        <v>6.6435507294771382E-3</v>
      </c>
      <c r="E8" s="81">
        <f t="shared" si="0"/>
        <v>2.144817094333178E-2</v>
      </c>
    </row>
    <row r="9" spans="1:6" x14ac:dyDescent="0.3">
      <c r="A9" s="93" t="s">
        <v>541</v>
      </c>
      <c r="B9" s="70">
        <v>672.6</v>
      </c>
      <c r="C9" s="70">
        <v>24323.85</v>
      </c>
      <c r="D9" s="81">
        <f t="shared" si="0"/>
        <v>8.1805678901193766E-4</v>
      </c>
      <c r="E9" s="81">
        <f t="shared" si="0"/>
        <v>1.2961950981359742E-2</v>
      </c>
    </row>
    <row r="10" spans="1:6" x14ac:dyDescent="0.3">
      <c r="A10" s="93" t="s">
        <v>542</v>
      </c>
      <c r="B10" s="70">
        <v>643.79999999999995</v>
      </c>
      <c r="C10" s="70">
        <v>24502.15</v>
      </c>
      <c r="D10" s="81">
        <f t="shared" si="0"/>
        <v>-4.3762680441461518E-2</v>
      </c>
      <c r="E10" s="81">
        <f t="shared" si="0"/>
        <v>7.3035183125095922E-3</v>
      </c>
    </row>
    <row r="11" spans="1:6" x14ac:dyDescent="0.3">
      <c r="A11" s="93" t="s">
        <v>543</v>
      </c>
      <c r="B11" s="70">
        <v>633.65</v>
      </c>
      <c r="C11" s="70">
        <v>24530.9</v>
      </c>
      <c r="D11" s="81">
        <f t="shared" si="0"/>
        <v>-1.5891367336634554E-2</v>
      </c>
      <c r="E11" s="81">
        <f t="shared" si="0"/>
        <v>1.1726785625080004E-3</v>
      </c>
    </row>
    <row r="12" spans="1:6" x14ac:dyDescent="0.3">
      <c r="A12" s="93" t="s">
        <v>544</v>
      </c>
      <c r="B12" s="70">
        <v>650.4</v>
      </c>
      <c r="C12" s="70">
        <v>24834.85</v>
      </c>
      <c r="D12" s="81">
        <f t="shared" si="0"/>
        <v>2.6090806705527565E-2</v>
      </c>
      <c r="E12" s="81">
        <f t="shared" si="0"/>
        <v>1.2314361313000784E-2</v>
      </c>
    </row>
    <row r="13" spans="1:6" x14ac:dyDescent="0.3">
      <c r="A13" s="93" t="s">
        <v>545</v>
      </c>
      <c r="B13" s="70">
        <v>637.6</v>
      </c>
      <c r="C13" s="70">
        <v>24717.7</v>
      </c>
      <c r="D13" s="81">
        <f t="shared" si="0"/>
        <v>-1.9876430757595508E-2</v>
      </c>
      <c r="E13" s="81">
        <f t="shared" si="0"/>
        <v>-4.728322488366658E-3</v>
      </c>
    </row>
    <row r="14" spans="1:6" x14ac:dyDescent="0.3">
      <c r="A14" s="93" t="s">
        <v>546</v>
      </c>
      <c r="B14" s="70">
        <v>625.95000000000005</v>
      </c>
      <c r="C14" s="70">
        <v>24367.5</v>
      </c>
      <c r="D14" s="81">
        <f t="shared" si="0"/>
        <v>-1.8440631770333976E-2</v>
      </c>
      <c r="E14" s="81">
        <f t="shared" si="0"/>
        <v>-1.4269308960382619E-2</v>
      </c>
    </row>
    <row r="15" spans="1:6" x14ac:dyDescent="0.3">
      <c r="A15" s="93" t="s">
        <v>547</v>
      </c>
      <c r="B15" s="70">
        <v>613.20000000000005</v>
      </c>
      <c r="C15" s="70">
        <v>24541.15</v>
      </c>
      <c r="D15" s="81">
        <f t="shared" si="0"/>
        <v>-2.0579348708012205E-2</v>
      </c>
      <c r="E15" s="81">
        <f t="shared" si="0"/>
        <v>7.1010232212244803E-3</v>
      </c>
    </row>
    <row r="16" spans="1:6" x14ac:dyDescent="0.3">
      <c r="A16" s="93" t="s">
        <v>548</v>
      </c>
      <c r="B16" s="70">
        <v>625.79999999999995</v>
      </c>
      <c r="C16" s="70">
        <v>24823.15</v>
      </c>
      <c r="D16" s="81">
        <f t="shared" si="0"/>
        <v>2.0339684237122565E-2</v>
      </c>
      <c r="E16" s="81">
        <f t="shared" si="0"/>
        <v>1.1425385052346668E-2</v>
      </c>
    </row>
    <row r="17" spans="1:5" x14ac:dyDescent="0.3">
      <c r="A17" s="93" t="s">
        <v>549</v>
      </c>
      <c r="B17" s="70">
        <v>688.7</v>
      </c>
      <c r="C17" s="70">
        <v>25235.9</v>
      </c>
      <c r="D17" s="81">
        <f t="shared" si="0"/>
        <v>9.5774931315870962E-2</v>
      </c>
      <c r="E17" s="81">
        <f t="shared" si="0"/>
        <v>1.6490898404791836E-2</v>
      </c>
    </row>
    <row r="18" spans="1:5" x14ac:dyDescent="0.3">
      <c r="A18" s="93" t="s">
        <v>550</v>
      </c>
      <c r="B18" s="70">
        <v>703</v>
      </c>
      <c r="C18" s="70">
        <v>24852.15</v>
      </c>
      <c r="D18" s="81">
        <f t="shared" si="0"/>
        <v>2.0551129260012225E-2</v>
      </c>
      <c r="E18" s="81">
        <f t="shared" si="0"/>
        <v>-1.5323315992827923E-2</v>
      </c>
    </row>
    <row r="19" spans="1:5" x14ac:dyDescent="0.3">
      <c r="A19" s="93" t="s">
        <v>551</v>
      </c>
      <c r="B19" s="70">
        <v>722.9</v>
      </c>
      <c r="C19" s="70">
        <v>25356.5</v>
      </c>
      <c r="D19" s="81">
        <f t="shared" si="0"/>
        <v>2.791400819558652E-2</v>
      </c>
      <c r="E19" s="81">
        <f t="shared" si="0"/>
        <v>2.0090839511347672E-2</v>
      </c>
    </row>
    <row r="20" spans="1:5" x14ac:dyDescent="0.3">
      <c r="A20" s="93" t="s">
        <v>552</v>
      </c>
      <c r="B20" s="70">
        <v>731.3</v>
      </c>
      <c r="C20" s="70">
        <v>25790.95</v>
      </c>
      <c r="D20" s="81">
        <f t="shared" si="0"/>
        <v>1.1552872270653936E-2</v>
      </c>
      <c r="E20" s="81">
        <f t="shared" si="0"/>
        <v>1.6988547771653453E-2</v>
      </c>
    </row>
    <row r="21" spans="1:5" x14ac:dyDescent="0.3">
      <c r="A21" s="93" t="s">
        <v>553</v>
      </c>
      <c r="B21" s="70">
        <v>731.1</v>
      </c>
      <c r="C21" s="70">
        <v>26178.95</v>
      </c>
      <c r="D21" s="81">
        <f t="shared" si="0"/>
        <v>-2.7352297763521936E-4</v>
      </c>
      <c r="E21" s="81">
        <f t="shared" si="0"/>
        <v>1.4931997527812487E-2</v>
      </c>
    </row>
    <row r="22" spans="1:5" x14ac:dyDescent="0.3">
      <c r="A22" s="93" t="s">
        <v>554</v>
      </c>
      <c r="B22" s="70">
        <v>718.95</v>
      </c>
      <c r="C22" s="70">
        <v>25014.6</v>
      </c>
      <c r="D22" s="81">
        <f t="shared" si="0"/>
        <v>-1.6758435025520241E-2</v>
      </c>
      <c r="E22" s="81">
        <f t="shared" si="0"/>
        <v>-4.5495998319013124E-2</v>
      </c>
    </row>
    <row r="23" spans="1:5" x14ac:dyDescent="0.3">
      <c r="A23" s="93" t="s">
        <v>555</v>
      </c>
      <c r="B23" s="70">
        <v>690.4</v>
      </c>
      <c r="C23" s="70">
        <v>24964.25</v>
      </c>
      <c r="D23" s="81">
        <f t="shared" si="0"/>
        <v>-4.0520674504531839E-2</v>
      </c>
      <c r="E23" s="81">
        <f t="shared" si="0"/>
        <v>-2.0148529641453492E-3</v>
      </c>
    </row>
    <row r="24" spans="1:5" x14ac:dyDescent="0.3">
      <c r="A24" s="93" t="s">
        <v>556</v>
      </c>
      <c r="B24" s="70">
        <v>683.65</v>
      </c>
      <c r="C24" s="70">
        <v>24854.05</v>
      </c>
      <c r="D24" s="81">
        <f t="shared" si="0"/>
        <v>-9.8250490141275175E-3</v>
      </c>
      <c r="E24" s="81">
        <f t="shared" si="0"/>
        <v>-4.424084312027299E-3</v>
      </c>
    </row>
    <row r="25" spans="1:5" x14ac:dyDescent="0.3">
      <c r="A25" s="93" t="s">
        <v>557</v>
      </c>
      <c r="B25" s="70">
        <v>604.5</v>
      </c>
      <c r="C25" s="70">
        <v>24180.799999999999</v>
      </c>
      <c r="D25" s="81">
        <f t="shared" si="0"/>
        <v>-0.12304442070024331</v>
      </c>
      <c r="E25" s="81">
        <f t="shared" si="0"/>
        <v>-2.7461787296672063E-2</v>
      </c>
    </row>
    <row r="26" spans="1:5" x14ac:dyDescent="0.3">
      <c r="A26" s="93" t="s">
        <v>558</v>
      </c>
      <c r="B26" s="70">
        <v>617.35</v>
      </c>
      <c r="C26" s="70">
        <v>24304.35</v>
      </c>
      <c r="D26" s="81">
        <f t="shared" si="0"/>
        <v>2.1034453958905266E-2</v>
      </c>
      <c r="E26" s="81">
        <f t="shared" si="0"/>
        <v>5.0964168376645006E-3</v>
      </c>
    </row>
    <row r="27" spans="1:5" x14ac:dyDescent="0.3">
      <c r="A27" s="93" t="s">
        <v>559</v>
      </c>
      <c r="B27" s="70">
        <v>580.65</v>
      </c>
      <c r="C27" s="70">
        <v>24148.2</v>
      </c>
      <c r="D27" s="81">
        <f t="shared" si="0"/>
        <v>-6.1287958321985921E-2</v>
      </c>
      <c r="E27" s="81">
        <f t="shared" si="0"/>
        <v>-6.4455035121012598E-3</v>
      </c>
    </row>
    <row r="28" spans="1:5" x14ac:dyDescent="0.3">
      <c r="A28" s="93" t="s">
        <v>560</v>
      </c>
      <c r="B28" s="70">
        <v>573.9</v>
      </c>
      <c r="C28" s="70">
        <v>23532.7</v>
      </c>
      <c r="D28" s="81">
        <f t="shared" si="0"/>
        <v>-1.1693000577449963E-2</v>
      </c>
      <c r="E28" s="81">
        <f t="shared" si="0"/>
        <v>-2.5818899871638063E-2</v>
      </c>
    </row>
    <row r="29" spans="1:5" x14ac:dyDescent="0.3">
      <c r="A29" s="93" t="s">
        <v>561</v>
      </c>
      <c r="B29" s="70">
        <v>595.70000000000005</v>
      </c>
      <c r="C29" s="70">
        <v>23907.25</v>
      </c>
      <c r="D29" s="81">
        <f t="shared" si="0"/>
        <v>3.7282019520325005E-2</v>
      </c>
      <c r="E29" s="81">
        <f t="shared" si="0"/>
        <v>1.5790816929671537E-2</v>
      </c>
    </row>
    <row r="30" spans="1:5" x14ac:dyDescent="0.3">
      <c r="A30" s="93" t="s">
        <v>562</v>
      </c>
      <c r="B30" s="70">
        <v>583.35</v>
      </c>
      <c r="C30" s="70">
        <v>24131.1</v>
      </c>
      <c r="D30" s="81">
        <f t="shared" si="0"/>
        <v>-2.0949835364775814E-2</v>
      </c>
      <c r="E30" s="81">
        <f t="shared" si="0"/>
        <v>9.3197047875579128E-3</v>
      </c>
    </row>
    <row r="31" spans="1:5" x14ac:dyDescent="0.3">
      <c r="A31" s="93" t="s">
        <v>563</v>
      </c>
      <c r="B31" s="70">
        <v>587.4</v>
      </c>
      <c r="C31" s="70">
        <v>24677.8</v>
      </c>
      <c r="D31" s="81">
        <f t="shared" si="0"/>
        <v>6.9186694946536476E-3</v>
      </c>
      <c r="E31" s="81">
        <f t="shared" si="0"/>
        <v>2.240258905415533E-2</v>
      </c>
    </row>
    <row r="32" spans="1:5" x14ac:dyDescent="0.3">
      <c r="A32" s="93" t="s">
        <v>564</v>
      </c>
      <c r="B32" s="70">
        <v>584.54999999999995</v>
      </c>
      <c r="C32" s="70">
        <v>24768.3</v>
      </c>
      <c r="D32" s="81">
        <f t="shared" si="0"/>
        <v>-4.8636983116917883E-3</v>
      </c>
      <c r="E32" s="81">
        <f t="shared" si="0"/>
        <v>3.6605556780333962E-3</v>
      </c>
    </row>
    <row r="33" spans="1:5" x14ac:dyDescent="0.3">
      <c r="A33" s="93" t="s">
        <v>565</v>
      </c>
      <c r="B33" s="70">
        <v>537.6</v>
      </c>
      <c r="C33" s="70">
        <v>23587.5</v>
      </c>
      <c r="D33" s="81">
        <f t="shared" si="0"/>
        <v>-8.3727531243887987E-2</v>
      </c>
      <c r="E33" s="81">
        <f t="shared" si="0"/>
        <v>-4.8847699042394159E-2</v>
      </c>
    </row>
    <row r="34" spans="1:5" x14ac:dyDescent="0.3">
      <c r="A34" s="93" t="s">
        <v>566</v>
      </c>
      <c r="B34" s="70">
        <v>552.20000000000005</v>
      </c>
      <c r="C34" s="70">
        <v>23813.4</v>
      </c>
      <c r="D34" s="81">
        <f t="shared" si="0"/>
        <v>2.679551028711431E-2</v>
      </c>
      <c r="E34" s="81">
        <f t="shared" si="0"/>
        <v>9.5315367536182825E-3</v>
      </c>
    </row>
    <row r="35" spans="1:5" x14ac:dyDescent="0.3">
      <c r="A35" s="93" t="s">
        <v>567</v>
      </c>
      <c r="B35" s="70">
        <v>573.54999999999995</v>
      </c>
      <c r="C35" s="70">
        <v>24004.75</v>
      </c>
      <c r="D35" s="81">
        <f t="shared" si="0"/>
        <v>3.7934817231222384E-2</v>
      </c>
      <c r="E35" s="81">
        <f t="shared" si="0"/>
        <v>8.0032799834058258E-3</v>
      </c>
    </row>
    <row r="36" spans="1:5" x14ac:dyDescent="0.3">
      <c r="A36" s="93" t="s">
        <v>568</v>
      </c>
      <c r="B36" s="70">
        <v>575.15</v>
      </c>
      <c r="C36" s="70">
        <v>23431.5</v>
      </c>
      <c r="D36" s="81">
        <f t="shared" si="0"/>
        <v>2.7857596147425941E-3</v>
      </c>
      <c r="E36" s="81">
        <f t="shared" si="0"/>
        <v>-2.4170456474656477E-2</v>
      </c>
    </row>
    <row r="37" spans="1:5" x14ac:dyDescent="0.3">
      <c r="A37" s="93" t="s">
        <v>569</v>
      </c>
      <c r="B37" s="70">
        <v>597.6</v>
      </c>
      <c r="C37" s="70">
        <v>23203.200000000001</v>
      </c>
      <c r="D37" s="81">
        <f t="shared" ref="D37:E68" si="1">LN(B37/B36)</f>
        <v>3.8290757476588243E-2</v>
      </c>
      <c r="E37" s="81">
        <f t="shared" si="1"/>
        <v>-9.791070761899584E-3</v>
      </c>
    </row>
    <row r="38" spans="1:5" x14ac:dyDescent="0.3">
      <c r="A38" s="93" t="s">
        <v>570</v>
      </c>
      <c r="B38" s="70">
        <v>594.65</v>
      </c>
      <c r="C38" s="70">
        <v>23092.2</v>
      </c>
      <c r="D38" s="81">
        <f t="shared" si="1"/>
        <v>-4.9486366453532771E-3</v>
      </c>
      <c r="E38" s="81">
        <f t="shared" si="1"/>
        <v>-4.7953020258143754E-3</v>
      </c>
    </row>
    <row r="39" spans="1:5" x14ac:dyDescent="0.3">
      <c r="A39" s="93" t="s">
        <v>571</v>
      </c>
      <c r="B39" s="70">
        <v>601.04999999999995</v>
      </c>
      <c r="C39" s="70">
        <v>23482.15</v>
      </c>
      <c r="D39" s="81">
        <f t="shared" si="1"/>
        <v>1.0705128577008824E-2</v>
      </c>
      <c r="E39" s="81">
        <f t="shared" si="1"/>
        <v>1.6745659889856764E-2</v>
      </c>
    </row>
    <row r="40" spans="1:5" x14ac:dyDescent="0.3">
      <c r="A40" s="93" t="s">
        <v>572</v>
      </c>
      <c r="B40" s="70">
        <v>592.1</v>
      </c>
      <c r="C40" s="70">
        <v>23559.95</v>
      </c>
      <c r="D40" s="81">
        <f t="shared" si="1"/>
        <v>-1.5002586212532715E-2</v>
      </c>
      <c r="E40" s="81">
        <f t="shared" si="1"/>
        <v>3.3076784808684849E-3</v>
      </c>
    </row>
    <row r="41" spans="1:5" x14ac:dyDescent="0.3">
      <c r="A41" s="93" t="s">
        <v>573</v>
      </c>
      <c r="B41" s="70">
        <v>534.9</v>
      </c>
      <c r="C41" s="70">
        <v>22929.25</v>
      </c>
      <c r="D41" s="81">
        <f t="shared" si="1"/>
        <v>-0.10159572600052606</v>
      </c>
      <c r="E41" s="81">
        <f t="shared" si="1"/>
        <v>-2.7134848447637715E-2</v>
      </c>
    </row>
    <row r="42" spans="1:5" x14ac:dyDescent="0.3">
      <c r="A42" s="93" t="s">
        <v>574</v>
      </c>
      <c r="B42" s="70">
        <v>537.6</v>
      </c>
      <c r="C42" s="70">
        <v>22795.9</v>
      </c>
      <c r="D42" s="81">
        <f t="shared" si="1"/>
        <v>5.0349756717353545E-3</v>
      </c>
      <c r="E42" s="81">
        <f t="shared" si="1"/>
        <v>-5.8326928637931746E-3</v>
      </c>
    </row>
    <row r="43" spans="1:5" x14ac:dyDescent="0.3">
      <c r="A43" s="93" t="s">
        <v>575</v>
      </c>
      <c r="B43" s="70">
        <v>565.70000000000005</v>
      </c>
      <c r="C43" s="70">
        <v>22124.7</v>
      </c>
      <c r="D43" s="81">
        <f t="shared" si="1"/>
        <v>5.0949113140170331E-2</v>
      </c>
      <c r="E43" s="81">
        <f t="shared" si="1"/>
        <v>-2.9886063748585712E-2</v>
      </c>
    </row>
    <row r="44" spans="1:5" x14ac:dyDescent="0.3">
      <c r="A44" s="93" t="s">
        <v>576</v>
      </c>
      <c r="B44" s="70">
        <v>544.29999999999995</v>
      </c>
      <c r="C44" s="70">
        <v>22552.5</v>
      </c>
      <c r="D44" s="81">
        <f t="shared" si="1"/>
        <v>-3.8563336908955873E-2</v>
      </c>
      <c r="E44" s="81">
        <f t="shared" si="1"/>
        <v>1.9151293068625848E-2</v>
      </c>
    </row>
    <row r="45" spans="1:5" x14ac:dyDescent="0.3">
      <c r="A45" s="93" t="s">
        <v>577</v>
      </c>
      <c r="B45" s="70">
        <v>502.85</v>
      </c>
      <c r="C45" s="70">
        <v>22397.200000000001</v>
      </c>
      <c r="D45" s="81">
        <f t="shared" si="1"/>
        <v>-7.9208650549664833E-2</v>
      </c>
      <c r="E45" s="81">
        <f t="shared" si="1"/>
        <v>-6.9099735008136568E-3</v>
      </c>
    </row>
    <row r="46" spans="1:5" x14ac:dyDescent="0.3">
      <c r="A46" s="93" t="s">
        <v>578</v>
      </c>
      <c r="B46" s="70">
        <v>542.79999999999995</v>
      </c>
      <c r="C46" s="70">
        <v>23350.400000000001</v>
      </c>
      <c r="D46" s="81">
        <f t="shared" si="1"/>
        <v>7.6449013070224503E-2</v>
      </c>
      <c r="E46" s="81">
        <f t="shared" si="1"/>
        <v>4.1678163541320971E-2</v>
      </c>
    </row>
    <row r="47" spans="1:5" x14ac:dyDescent="0.3">
      <c r="A47" s="93" t="s">
        <v>579</v>
      </c>
      <c r="B47" s="70">
        <v>534.6</v>
      </c>
      <c r="C47" s="70">
        <v>23519.35</v>
      </c>
      <c r="D47" s="81">
        <f t="shared" si="1"/>
        <v>-1.5222124255895374E-2</v>
      </c>
      <c r="E47" s="81">
        <f t="shared" si="1"/>
        <v>7.2093720049575738E-3</v>
      </c>
    </row>
    <row r="48" spans="1:5" x14ac:dyDescent="0.3">
      <c r="A48" s="93" t="s">
        <v>580</v>
      </c>
      <c r="B48" s="70">
        <v>552.1</v>
      </c>
      <c r="C48" s="70">
        <v>22904.45</v>
      </c>
      <c r="D48" s="81">
        <f t="shared" si="1"/>
        <v>3.2210385585180315E-2</v>
      </c>
      <c r="E48" s="81">
        <f t="shared" si="1"/>
        <v>-2.6492271768119271E-2</v>
      </c>
    </row>
    <row r="49" spans="1:5" x14ac:dyDescent="0.3">
      <c r="A49" s="93" t="s">
        <v>581</v>
      </c>
      <c r="B49" s="70">
        <v>557.1</v>
      </c>
      <c r="C49" s="70">
        <v>22828.55</v>
      </c>
      <c r="D49" s="81">
        <f t="shared" si="1"/>
        <v>9.0155677367708305E-3</v>
      </c>
      <c r="E49" s="81">
        <f t="shared" si="1"/>
        <v>-3.319269222923537E-3</v>
      </c>
    </row>
    <row r="50" spans="1:5" x14ac:dyDescent="0.3">
      <c r="A50" s="93" t="s">
        <v>582</v>
      </c>
      <c r="B50" s="70">
        <v>586.54999999999995</v>
      </c>
      <c r="C50" s="70">
        <v>23851.65</v>
      </c>
      <c r="D50" s="81">
        <f t="shared" si="1"/>
        <v>5.1513158924959321E-2</v>
      </c>
      <c r="E50" s="81">
        <f t="shared" si="1"/>
        <v>4.3841451728217573E-2</v>
      </c>
    </row>
    <row r="51" spans="1:5" x14ac:dyDescent="0.3">
      <c r="A51" s="93" t="s">
        <v>583</v>
      </c>
      <c r="B51" s="70">
        <v>675.15</v>
      </c>
      <c r="C51" s="70">
        <v>24039.35</v>
      </c>
      <c r="D51" s="81">
        <f t="shared" si="1"/>
        <v>0.14067697245532218</v>
      </c>
      <c r="E51" s="81">
        <f t="shared" si="1"/>
        <v>7.8386737006191139E-3</v>
      </c>
    </row>
    <row r="52" spans="1:5" x14ac:dyDescent="0.3">
      <c r="A52" s="93" t="s">
        <v>584</v>
      </c>
      <c r="B52" s="70">
        <v>676.4</v>
      </c>
      <c r="C52" s="70">
        <v>24346.7</v>
      </c>
      <c r="D52" s="81">
        <f t="shared" si="1"/>
        <v>1.8497286173739115E-3</v>
      </c>
      <c r="E52" s="81">
        <f t="shared" si="1"/>
        <v>1.2704245698565554E-2</v>
      </c>
    </row>
    <row r="53" spans="1:5" x14ac:dyDescent="0.3">
      <c r="A53" s="93" t="s">
        <v>585</v>
      </c>
      <c r="B53" s="70">
        <v>687</v>
      </c>
      <c r="C53" s="70">
        <v>24008</v>
      </c>
      <c r="D53" s="81">
        <f t="shared" si="1"/>
        <v>1.5549675197924046E-2</v>
      </c>
      <c r="E53" s="81">
        <f t="shared" si="1"/>
        <v>-1.4009208592415053E-2</v>
      </c>
    </row>
    <row r="54" spans="1:5" x14ac:dyDescent="0.3">
      <c r="A54" s="93" t="s">
        <v>586</v>
      </c>
      <c r="B54" s="70">
        <v>684.85</v>
      </c>
      <c r="C54" s="70">
        <v>25019.8</v>
      </c>
      <c r="D54" s="81">
        <f t="shared" si="1"/>
        <v>-3.1344560415191148E-3</v>
      </c>
      <c r="E54" s="81">
        <f t="shared" si="1"/>
        <v>4.1280403263634101E-2</v>
      </c>
    </row>
    <row r="55" spans="1:5" x14ac:dyDescent="0.3">
      <c r="A55" s="93" t="s">
        <v>587</v>
      </c>
      <c r="B55" s="70">
        <v>696.2</v>
      </c>
      <c r="C55" s="70">
        <v>24853.15</v>
      </c>
      <c r="D55" s="81">
        <f t="shared" si="1"/>
        <v>1.6437139196508261E-2</v>
      </c>
      <c r="E55" s="81">
        <f t="shared" si="1"/>
        <v>-6.6830063291233831E-3</v>
      </c>
    </row>
    <row r="56" spans="1:5" x14ac:dyDescent="0.3">
      <c r="A56" s="93" t="s">
        <v>588</v>
      </c>
      <c r="B56" s="70">
        <v>693.05</v>
      </c>
      <c r="C56" s="70">
        <v>24750.7</v>
      </c>
      <c r="D56" s="81">
        <f t="shared" si="1"/>
        <v>-4.5348287179765925E-3</v>
      </c>
      <c r="E56" s="81">
        <f t="shared" si="1"/>
        <v>-4.1307336295462148E-3</v>
      </c>
    </row>
    <row r="57" spans="1:5" x14ac:dyDescent="0.3">
      <c r="A57" s="93" t="s">
        <v>589</v>
      </c>
      <c r="B57" s="70">
        <v>749.55</v>
      </c>
      <c r="C57" s="70">
        <v>25003.05</v>
      </c>
      <c r="D57" s="81">
        <f t="shared" si="1"/>
        <v>7.8370879798961665E-2</v>
      </c>
      <c r="E57" s="81">
        <f t="shared" si="1"/>
        <v>1.0144045983775322E-2</v>
      </c>
    </row>
    <row r="58" spans="1:5" x14ac:dyDescent="0.3">
      <c r="A58" s="93" t="s">
        <v>590</v>
      </c>
      <c r="B58" s="70">
        <v>768.6</v>
      </c>
      <c r="C58" s="70">
        <v>24718.6</v>
      </c>
      <c r="D58" s="81">
        <f t="shared" si="1"/>
        <v>2.5097651672420049E-2</v>
      </c>
      <c r="E58" s="81">
        <f t="shared" si="1"/>
        <v>-1.1441820745305855E-2</v>
      </c>
    </row>
    <row r="59" spans="1:5" x14ac:dyDescent="0.3">
      <c r="A59" s="93" t="s">
        <v>591</v>
      </c>
      <c r="B59" s="70">
        <v>795.35</v>
      </c>
      <c r="C59" s="70">
        <v>25112.400000000001</v>
      </c>
      <c r="D59" s="81">
        <f t="shared" si="1"/>
        <v>3.4211591213625839E-2</v>
      </c>
      <c r="E59" s="81">
        <f t="shared" si="1"/>
        <v>1.5805751370987119E-2</v>
      </c>
    </row>
    <row r="60" spans="1:5" x14ac:dyDescent="0.3">
      <c r="A60" s="93" t="s">
        <v>592</v>
      </c>
      <c r="B60" s="70">
        <v>809</v>
      </c>
      <c r="C60" s="70">
        <v>25637.8</v>
      </c>
      <c r="D60" s="81">
        <f t="shared" si="1"/>
        <v>1.7016647714122157E-2</v>
      </c>
      <c r="E60" s="81">
        <f t="shared" si="1"/>
        <v>2.0706076886519792E-2</v>
      </c>
    </row>
    <row r="61" spans="1:5" x14ac:dyDescent="0.3">
      <c r="A61" s="93" t="s">
        <v>593</v>
      </c>
      <c r="B61" s="70">
        <v>819.5</v>
      </c>
      <c r="C61" s="70">
        <v>25461</v>
      </c>
      <c r="D61" s="81">
        <f t="shared" si="1"/>
        <v>1.2895481125392636E-2</v>
      </c>
      <c r="E61" s="81">
        <f t="shared" si="1"/>
        <v>-6.9199552833574436E-3</v>
      </c>
    </row>
    <row r="62" spans="1:5" x14ac:dyDescent="0.3">
      <c r="A62" s="93" t="s">
        <v>594</v>
      </c>
      <c r="B62" s="70">
        <v>821</v>
      </c>
      <c r="C62" s="70">
        <v>25149.85</v>
      </c>
      <c r="D62" s="81">
        <f t="shared" si="1"/>
        <v>1.8287112685438131E-3</v>
      </c>
      <c r="E62" s="81">
        <f t="shared" si="1"/>
        <v>-1.2295937342399072E-2</v>
      </c>
    </row>
    <row r="63" spans="1:5" x14ac:dyDescent="0.3">
      <c r="A63" s="93" t="s">
        <v>595</v>
      </c>
      <c r="B63" s="70">
        <v>794.9</v>
      </c>
      <c r="C63" s="70">
        <v>24968.400000000001</v>
      </c>
      <c r="D63" s="81">
        <f t="shared" si="1"/>
        <v>-3.2306788873361324E-2</v>
      </c>
      <c r="E63" s="81">
        <f t="shared" si="1"/>
        <v>-7.2409069668509501E-3</v>
      </c>
    </row>
    <row r="64" spans="1:5" x14ac:dyDescent="0.3">
      <c r="A64" s="93" t="s">
        <v>596</v>
      </c>
      <c r="B64" s="70">
        <v>733.4</v>
      </c>
      <c r="C64" s="70">
        <v>24837</v>
      </c>
      <c r="D64" s="81">
        <f t="shared" si="1"/>
        <v>-8.0525064941841307E-2</v>
      </c>
      <c r="E64" s="81">
        <f t="shared" si="1"/>
        <v>-5.2765485216208774E-3</v>
      </c>
    </row>
    <row r="65" spans="1:5" x14ac:dyDescent="0.3">
      <c r="A65" s="93" t="s">
        <v>597</v>
      </c>
      <c r="B65" s="70">
        <v>741.05</v>
      </c>
      <c r="C65" s="70">
        <v>24565.35</v>
      </c>
      <c r="D65" s="81">
        <f t="shared" si="1"/>
        <v>1.0376843765698432E-2</v>
      </c>
      <c r="E65" s="81">
        <f t="shared" si="1"/>
        <v>-1.0997563391969221E-2</v>
      </c>
    </row>
    <row r="66" spans="1:5" x14ac:dyDescent="0.3">
      <c r="A66" s="93" t="s">
        <v>598</v>
      </c>
      <c r="B66" s="70">
        <v>739</v>
      </c>
      <c r="C66" s="70">
        <v>24363.3</v>
      </c>
      <c r="D66" s="81">
        <f t="shared" si="1"/>
        <v>-2.7701784547221908E-3</v>
      </c>
      <c r="E66" s="81">
        <f t="shared" si="1"/>
        <v>-8.2590117857757276E-3</v>
      </c>
    </row>
    <row r="67" spans="1:5" x14ac:dyDescent="0.3">
      <c r="A67" s="93" t="s">
        <v>599</v>
      </c>
      <c r="B67" s="70">
        <v>750.6</v>
      </c>
      <c r="C67" s="70">
        <v>24631.3</v>
      </c>
      <c r="D67" s="81">
        <f t="shared" si="1"/>
        <v>1.55749657527188E-2</v>
      </c>
      <c r="E67" s="81">
        <f t="shared" si="1"/>
        <v>1.0940090253721954E-2</v>
      </c>
    </row>
    <row r="68" spans="1:5" x14ac:dyDescent="0.3">
      <c r="A68" s="93" t="s">
        <v>600</v>
      </c>
      <c r="B68" s="70">
        <v>742.05</v>
      </c>
      <c r="C68" s="70">
        <v>24870.1</v>
      </c>
      <c r="D68" s="81">
        <f t="shared" si="1"/>
        <v>-1.1456260359093206E-2</v>
      </c>
      <c r="E68" s="81">
        <f t="shared" si="1"/>
        <v>9.6482868151991173E-3</v>
      </c>
    </row>
    <row r="69" spans="1:5" x14ac:dyDescent="0.3">
      <c r="A69" s="93" t="s">
        <v>601</v>
      </c>
      <c r="B69" s="70">
        <v>718.05</v>
      </c>
      <c r="C69" s="70">
        <v>24426.85</v>
      </c>
      <c r="D69" s="81">
        <f t="shared" ref="D69:E100" si="2">LN(B69/B68)</f>
        <v>-3.2877421835199559E-2</v>
      </c>
      <c r="E69" s="81">
        <f t="shared" si="2"/>
        <v>-1.7983341587840214E-2</v>
      </c>
    </row>
    <row r="70" spans="1:5" x14ac:dyDescent="0.3">
      <c r="A70" s="93" t="s">
        <v>602</v>
      </c>
      <c r="B70" s="70">
        <v>694.3</v>
      </c>
      <c r="C70" s="70">
        <v>24741</v>
      </c>
      <c r="D70" s="81">
        <f t="shared" si="2"/>
        <v>-3.3635060747400032E-2</v>
      </c>
      <c r="E70" s="81">
        <f t="shared" si="2"/>
        <v>1.2778849391213523E-2</v>
      </c>
    </row>
    <row r="71" spans="1:5" x14ac:dyDescent="0.3">
      <c r="A71" s="93" t="s">
        <v>603</v>
      </c>
      <c r="B71" s="70">
        <v>706.65</v>
      </c>
      <c r="C71" s="70">
        <v>25114</v>
      </c>
      <c r="D71" s="81">
        <f t="shared" si="2"/>
        <v>1.7631350054932205E-2</v>
      </c>
      <c r="E71" s="81">
        <f t="shared" si="2"/>
        <v>1.4963673047444039E-2</v>
      </c>
    </row>
    <row r="72" spans="1:5" x14ac:dyDescent="0.3">
      <c r="A72" s="93" t="s">
        <v>604</v>
      </c>
      <c r="B72" s="70">
        <v>718.7</v>
      </c>
      <c r="C72" s="70">
        <v>25327.05</v>
      </c>
      <c r="D72" s="81">
        <f t="shared" si="2"/>
        <v>1.6908530660237286E-2</v>
      </c>
      <c r="E72" s="81">
        <f t="shared" si="2"/>
        <v>8.4475349720462573E-3</v>
      </c>
    </row>
    <row r="73" spans="1:5" x14ac:dyDescent="0.3">
      <c r="A73" s="93" t="s">
        <v>605</v>
      </c>
      <c r="B73" s="70">
        <v>743.2</v>
      </c>
      <c r="C73" s="70">
        <v>24654.7</v>
      </c>
      <c r="D73" s="81">
        <f t="shared" si="2"/>
        <v>3.3521163025231726E-2</v>
      </c>
      <c r="E73" s="81">
        <f t="shared" si="2"/>
        <v>-2.6905442854016699E-2</v>
      </c>
    </row>
    <row r="74" spans="1:5" x14ac:dyDescent="0.3">
      <c r="A74" s="93" t="s">
        <v>606</v>
      </c>
      <c r="B74" s="70">
        <v>741.9</v>
      </c>
      <c r="C74" s="70">
        <v>24894.25</v>
      </c>
      <c r="D74" s="81">
        <f t="shared" si="2"/>
        <v>-1.7507243041486424E-3</v>
      </c>
      <c r="E74" s="81">
        <f t="shared" si="2"/>
        <v>9.6693014240994586E-3</v>
      </c>
    </row>
    <row r="75" spans="1:5" x14ac:dyDescent="0.3">
      <c r="A75" s="93" t="s">
        <v>607</v>
      </c>
      <c r="B75" s="70">
        <v>763.25</v>
      </c>
      <c r="C75" s="70">
        <v>25285.35</v>
      </c>
      <c r="D75" s="81">
        <f t="shared" si="2"/>
        <v>2.8371168419506966E-2</v>
      </c>
      <c r="E75" s="81">
        <f t="shared" si="2"/>
        <v>1.5588323526175112E-2</v>
      </c>
    </row>
    <row r="76" spans="1:5" x14ac:dyDescent="0.3">
      <c r="A76" s="93" t="s">
        <v>608</v>
      </c>
      <c r="B76" s="70">
        <v>792.45</v>
      </c>
      <c r="C76" s="70">
        <v>25709.85</v>
      </c>
      <c r="D76" s="81">
        <f t="shared" si="2"/>
        <v>3.7543780663447372E-2</v>
      </c>
      <c r="E76" s="81">
        <f t="shared" si="2"/>
        <v>1.6649010319984742E-2</v>
      </c>
    </row>
    <row r="77" spans="1:5" x14ac:dyDescent="0.3">
      <c r="A77" s="93" t="s">
        <v>609</v>
      </c>
      <c r="B77" s="70">
        <v>860.35</v>
      </c>
      <c r="C77" s="70">
        <v>25795.15</v>
      </c>
      <c r="D77" s="81">
        <f t="shared" si="2"/>
        <v>8.2209870920732064E-2</v>
      </c>
      <c r="E77" s="81">
        <f t="shared" si="2"/>
        <v>3.3123028050869451E-3</v>
      </c>
    </row>
    <row r="78" spans="1:5" x14ac:dyDescent="0.3">
      <c r="A78" s="93" t="s">
        <v>610</v>
      </c>
      <c r="B78" s="70">
        <v>877.85</v>
      </c>
      <c r="C78" s="70">
        <v>25722.1</v>
      </c>
      <c r="D78" s="81">
        <f t="shared" si="2"/>
        <v>2.0136453016050937E-2</v>
      </c>
      <c r="E78" s="81">
        <f t="shared" si="2"/>
        <v>-2.8359452012377598E-3</v>
      </c>
    </row>
    <row r="79" spans="1:5" x14ac:dyDescent="0.3">
      <c r="A79" s="93" t="s">
        <v>611</v>
      </c>
      <c r="B79" s="70">
        <v>908.7</v>
      </c>
      <c r="C79" s="70">
        <v>25492.3</v>
      </c>
      <c r="D79" s="81">
        <f t="shared" si="2"/>
        <v>3.4539270486083726E-2</v>
      </c>
      <c r="E79" s="81">
        <f t="shared" si="2"/>
        <v>-8.9740987781805719E-3</v>
      </c>
    </row>
    <row r="80" spans="1:5" x14ac:dyDescent="0.3">
      <c r="A80" s="93" t="s">
        <v>612</v>
      </c>
      <c r="B80" s="70">
        <v>890.6</v>
      </c>
      <c r="C80" s="70">
        <v>25910.05</v>
      </c>
      <c r="D80" s="81">
        <f t="shared" si="2"/>
        <v>-2.0119613813699283E-2</v>
      </c>
      <c r="E80" s="81">
        <f t="shared" si="2"/>
        <v>1.6254478548277804E-2</v>
      </c>
    </row>
    <row r="81" spans="1:5" x14ac:dyDescent="0.3">
      <c r="A81" s="93" t="s">
        <v>613</v>
      </c>
      <c r="B81" s="70">
        <v>915.35</v>
      </c>
      <c r="C81" s="70">
        <v>26068.15</v>
      </c>
      <c r="D81" s="81">
        <f t="shared" si="2"/>
        <v>2.7411112909421713E-2</v>
      </c>
      <c r="E81" s="81">
        <f t="shared" si="2"/>
        <v>6.0833383059433034E-3</v>
      </c>
    </row>
    <row r="82" spans="1:5" x14ac:dyDescent="0.3">
      <c r="A82" s="93" t="s">
        <v>614</v>
      </c>
      <c r="B82" s="70">
        <v>955.25</v>
      </c>
      <c r="C82" s="70">
        <v>26202.95</v>
      </c>
      <c r="D82" s="81">
        <f t="shared" si="2"/>
        <v>4.2666580529985627E-2</v>
      </c>
      <c r="E82" s="81">
        <f t="shared" si="2"/>
        <v>5.1577372135593663E-3</v>
      </c>
    </row>
    <row r="83" spans="1:5" x14ac:dyDescent="0.3">
      <c r="A83" s="93" t="s">
        <v>615</v>
      </c>
      <c r="B83" s="70">
        <v>960.7</v>
      </c>
      <c r="C83" s="70">
        <v>26186.45</v>
      </c>
      <c r="D83" s="81">
        <f t="shared" si="2"/>
        <v>5.6890990886834499E-3</v>
      </c>
      <c r="E83" s="81">
        <f t="shared" si="2"/>
        <v>-6.2989843539192319E-4</v>
      </c>
    </row>
    <row r="84" spans="1:5" x14ac:dyDescent="0.3">
      <c r="A84" s="93" t="s">
        <v>616</v>
      </c>
      <c r="B84" s="70">
        <v>968.05</v>
      </c>
      <c r="C84" s="70">
        <v>26046.95</v>
      </c>
      <c r="D84" s="81">
        <f t="shared" si="2"/>
        <v>7.6215534194814033E-3</v>
      </c>
      <c r="E84" s="81">
        <f t="shared" si="2"/>
        <v>-5.3414226020262667E-3</v>
      </c>
    </row>
    <row r="85" spans="1:5" x14ac:dyDescent="0.3">
      <c r="A85" s="93" t="s">
        <v>617</v>
      </c>
      <c r="B85" s="70">
        <v>985.15</v>
      </c>
      <c r="C85" s="70">
        <v>25966.400000000001</v>
      </c>
      <c r="D85" s="81">
        <f t="shared" si="2"/>
        <v>1.7510175006802558E-2</v>
      </c>
      <c r="E85" s="81">
        <f t="shared" si="2"/>
        <v>-3.0972842316112767E-3</v>
      </c>
    </row>
    <row r="86" spans="1:5" x14ac:dyDescent="0.3">
      <c r="A86" s="93" t="s">
        <v>618</v>
      </c>
      <c r="B86" s="70">
        <v>974.95</v>
      </c>
      <c r="C86" s="70">
        <v>26042.3</v>
      </c>
      <c r="D86" s="81">
        <f t="shared" si="2"/>
        <v>-1.0407726210380901E-2</v>
      </c>
      <c r="E86" s="81">
        <f t="shared" si="2"/>
        <v>2.9187445132489859E-3</v>
      </c>
    </row>
    <row r="87" spans="1:5" x14ac:dyDescent="0.3">
      <c r="A87" s="93" t="s">
        <v>619</v>
      </c>
      <c r="B87" s="70">
        <v>999.4</v>
      </c>
      <c r="C87" s="70">
        <v>26328.55</v>
      </c>
      <c r="D87" s="81">
        <f t="shared" si="2"/>
        <v>2.4768911278508769E-2</v>
      </c>
      <c r="E87" s="81">
        <f t="shared" si="2"/>
        <v>1.093176263700745E-2</v>
      </c>
    </row>
    <row r="88" spans="1:5" x14ac:dyDescent="0.3">
      <c r="A88" s="93" t="s">
        <v>620</v>
      </c>
      <c r="B88" s="70">
        <v>999.2</v>
      </c>
      <c r="C88" s="70">
        <v>25683.3</v>
      </c>
      <c r="D88" s="81">
        <f t="shared" si="2"/>
        <v>-2.0014009873666581E-4</v>
      </c>
      <c r="E88" s="81">
        <f t="shared" si="2"/>
        <v>-2.4812926491097554E-2</v>
      </c>
    </row>
    <row r="89" spans="1:5" x14ac:dyDescent="0.3">
      <c r="A89" s="93" t="s">
        <v>621</v>
      </c>
      <c r="B89" s="70">
        <v>1025.4000000000001</v>
      </c>
      <c r="C89" s="70">
        <v>25694.35</v>
      </c>
      <c r="D89" s="81">
        <f t="shared" si="2"/>
        <v>2.5883100538232354E-2</v>
      </c>
      <c r="E89" s="81">
        <f t="shared" si="2"/>
        <v>4.3014813524466241E-4</v>
      </c>
    </row>
    <row r="90" spans="1:5" x14ac:dyDescent="0.3">
      <c r="A90" s="93" t="s">
        <v>622</v>
      </c>
      <c r="B90" s="70">
        <v>966.1</v>
      </c>
      <c r="C90" s="70">
        <v>25048.65</v>
      </c>
      <c r="D90" s="81">
        <f t="shared" si="2"/>
        <v>-5.9570710826136367E-2</v>
      </c>
      <c r="E90" s="81">
        <f t="shared" si="2"/>
        <v>-2.5451189510816766E-2</v>
      </c>
    </row>
    <row r="91" spans="1:5" x14ac:dyDescent="0.3">
      <c r="A91" s="93" t="s">
        <v>623</v>
      </c>
      <c r="B91" s="70">
        <v>979.6</v>
      </c>
      <c r="C91" s="70">
        <v>24825.45</v>
      </c>
      <c r="D91" s="81">
        <f t="shared" si="2"/>
        <v>1.3876976554548713E-2</v>
      </c>
      <c r="E91" s="81">
        <f t="shared" si="2"/>
        <v>-8.9505972079036121E-3</v>
      </c>
    </row>
    <row r="92" spans="1:5" x14ac:dyDescent="0.3">
      <c r="A92" s="93" t="s">
        <v>624</v>
      </c>
      <c r="B92" s="70">
        <v>991.05</v>
      </c>
      <c r="C92" s="70">
        <v>25693.7</v>
      </c>
      <c r="D92" s="81">
        <f t="shared" si="2"/>
        <v>1.1620662065991582E-2</v>
      </c>
      <c r="E92" s="81">
        <f t="shared" si="2"/>
        <v>3.437648900845381E-2</v>
      </c>
    </row>
    <row r="93" spans="1:5" x14ac:dyDescent="0.3">
      <c r="A93" s="93" t="s">
        <v>625</v>
      </c>
      <c r="B93" s="70">
        <v>994.9</v>
      </c>
      <c r="C93" s="70">
        <v>25471.1</v>
      </c>
      <c r="D93" s="81">
        <f t="shared" si="2"/>
        <v>3.87724245130971E-3</v>
      </c>
      <c r="E93" s="81">
        <f t="shared" si="2"/>
        <v>-8.7013495404401134E-3</v>
      </c>
    </row>
    <row r="94" spans="1:5" x14ac:dyDescent="0.3">
      <c r="A94" s="93" t="s">
        <v>626</v>
      </c>
      <c r="B94" s="70">
        <v>1029.6500000000001</v>
      </c>
      <c r="C94" s="70">
        <v>25571.25</v>
      </c>
      <c r="D94" s="81">
        <f t="shared" si="2"/>
        <v>3.433198805604306E-2</v>
      </c>
      <c r="E94" s="81">
        <f t="shared" si="2"/>
        <v>3.9241973976577929E-3</v>
      </c>
    </row>
    <row r="95" spans="1:5" x14ac:dyDescent="0.3">
      <c r="A95" s="93" t="s">
        <v>627</v>
      </c>
      <c r="B95" s="70">
        <v>958.35</v>
      </c>
      <c r="C95" s="70">
        <v>25178.65</v>
      </c>
      <c r="D95" s="81">
        <f t="shared" si="2"/>
        <v>-7.1761161934895207E-2</v>
      </c>
      <c r="E95" s="81">
        <f t="shared" si="2"/>
        <v>-1.547226032126362E-2</v>
      </c>
    </row>
    <row r="96" spans="1:5" x14ac:dyDescent="0.3">
      <c r="A96" s="93" t="s">
        <v>628</v>
      </c>
      <c r="B96" s="70">
        <v>964.25</v>
      </c>
      <c r="C96" s="70">
        <v>24450.45</v>
      </c>
      <c r="D96" s="81">
        <f t="shared" si="2"/>
        <v>6.1375413718751095E-3</v>
      </c>
      <c r="E96" s="81">
        <f t="shared" si="2"/>
        <v>-2.9347792540083448E-2</v>
      </c>
    </row>
    <row r="97" spans="1:5" x14ac:dyDescent="0.3">
      <c r="A97" s="93" t="s">
        <v>629</v>
      </c>
      <c r="B97" s="70">
        <v>884.35</v>
      </c>
      <c r="C97" s="70">
        <v>23151.1</v>
      </c>
      <c r="D97" s="81">
        <f t="shared" si="2"/>
        <v>-8.6497685207534453E-2</v>
      </c>
      <c r="E97" s="81">
        <f t="shared" si="2"/>
        <v>-5.4606325057399985E-2</v>
      </c>
    </row>
    <row r="98" spans="1:5" x14ac:dyDescent="0.3">
      <c r="A98" s="93" t="s">
        <v>630</v>
      </c>
      <c r="B98" s="70">
        <v>901.5</v>
      </c>
      <c r="C98" s="70">
        <v>23114.5</v>
      </c>
      <c r="D98" s="81">
        <f t="shared" si="2"/>
        <v>1.9207130762569351E-2</v>
      </c>
      <c r="E98" s="81">
        <f t="shared" si="2"/>
        <v>-1.5821693714094449E-3</v>
      </c>
    </row>
    <row r="99" spans="1:5" x14ac:dyDescent="0.3">
      <c r="A99" s="93" t="s">
        <v>631</v>
      </c>
      <c r="B99" s="70">
        <v>882.75</v>
      </c>
      <c r="C99" s="70">
        <v>22819.599999999999</v>
      </c>
      <c r="D99" s="81">
        <f t="shared" si="2"/>
        <v>-2.1018007834876153E-2</v>
      </c>
      <c r="E99" s="81">
        <f t="shared" si="2"/>
        <v>-1.28403104341611E-2</v>
      </c>
    </row>
    <row r="100" spans="1:5" x14ac:dyDescent="0.3">
      <c r="A100" s="93" t="s">
        <v>632</v>
      </c>
      <c r="B100" s="70">
        <v>868.25</v>
      </c>
      <c r="C100" s="70">
        <v>22713.1</v>
      </c>
      <c r="D100" s="81">
        <f t="shared" si="2"/>
        <v>-1.6562343184312423E-2</v>
      </c>
      <c r="E100" s="81">
        <f t="shared" si="2"/>
        <v>-4.6779652519942779E-3</v>
      </c>
    </row>
    <row r="101" spans="1:5" x14ac:dyDescent="0.3">
      <c r="A101" s="93" t="s">
        <v>633</v>
      </c>
      <c r="B101" s="70">
        <v>981.8</v>
      </c>
      <c r="C101" s="70">
        <v>24050.6</v>
      </c>
      <c r="D101" s="81">
        <f t="shared" ref="D101:E108" si="3">LN(B101/B100)</f>
        <v>0.12290792999976866</v>
      </c>
      <c r="E101" s="81">
        <f t="shared" si="3"/>
        <v>5.7218093720997905E-2</v>
      </c>
    </row>
    <row r="102" spans="1:5" x14ac:dyDescent="0.3">
      <c r="A102" s="93" t="s">
        <v>634</v>
      </c>
      <c r="B102" s="70">
        <v>990.6</v>
      </c>
      <c r="C102" s="70">
        <v>24353.55</v>
      </c>
      <c r="D102" s="81">
        <f t="shared" si="3"/>
        <v>8.9231985301852362E-3</v>
      </c>
      <c r="E102" s="81">
        <f t="shared" si="3"/>
        <v>1.2517685191082192E-2</v>
      </c>
    </row>
    <row r="103" spans="1:5" x14ac:dyDescent="0.3">
      <c r="A103" s="93" t="s">
        <v>635</v>
      </c>
      <c r="B103" s="70">
        <v>1065.6500000000001</v>
      </c>
      <c r="C103" s="70">
        <v>23897.95</v>
      </c>
      <c r="D103" s="81">
        <f t="shared" si="3"/>
        <v>7.3029400453110446E-2</v>
      </c>
      <c r="E103" s="81">
        <f t="shared" si="3"/>
        <v>-1.88849482565208E-2</v>
      </c>
    </row>
    <row r="104" spans="1:5" x14ac:dyDescent="0.3">
      <c r="A104" s="93" t="s">
        <v>636</v>
      </c>
      <c r="B104" s="70">
        <v>1015.95</v>
      </c>
      <c r="C104" s="70">
        <v>23997.55</v>
      </c>
      <c r="D104" s="81">
        <f t="shared" si="3"/>
        <v>-4.7760806278225307E-2</v>
      </c>
      <c r="E104" s="81">
        <f t="shared" si="3"/>
        <v>4.1590606036713881E-3</v>
      </c>
    </row>
    <row r="105" spans="1:5" x14ac:dyDescent="0.3">
      <c r="A105" s="93" t="s">
        <v>637</v>
      </c>
      <c r="B105" s="70">
        <v>1050.4000000000001</v>
      </c>
      <c r="C105" s="70">
        <v>24176.15</v>
      </c>
      <c r="D105" s="81">
        <f t="shared" si="3"/>
        <v>3.3346908659564127E-2</v>
      </c>
      <c r="E105" s="81">
        <f t="shared" si="3"/>
        <v>7.4148682077128346E-3</v>
      </c>
    </row>
    <row r="106" spans="1:5" x14ac:dyDescent="0.3">
      <c r="A106" s="93" t="s">
        <v>638</v>
      </c>
      <c r="B106" s="70">
        <v>990.5</v>
      </c>
      <c r="C106" s="70">
        <v>23643.5</v>
      </c>
      <c r="D106" s="81">
        <f t="shared" si="3"/>
        <v>-5.8716456849980919E-2</v>
      </c>
      <c r="E106" s="81">
        <f t="shared" si="3"/>
        <v>-2.2278374286986737E-2</v>
      </c>
    </row>
    <row r="107" spans="1:5" x14ac:dyDescent="0.3">
      <c r="A107" s="93" t="s">
        <v>639</v>
      </c>
      <c r="B107" s="70">
        <v>977.9</v>
      </c>
      <c r="C107" s="70">
        <v>23719.3</v>
      </c>
      <c r="D107" s="81">
        <f t="shared" si="3"/>
        <v>-1.2802450820376251E-2</v>
      </c>
      <c r="E107" s="81">
        <f t="shared" si="3"/>
        <v>3.2008270083732824E-3</v>
      </c>
    </row>
    <row r="108" spans="1:5" x14ac:dyDescent="0.3">
      <c r="A108" s="93" t="s">
        <v>640</v>
      </c>
      <c r="B108" s="70">
        <v>984.7</v>
      </c>
      <c r="C108" s="70">
        <v>23547.75</v>
      </c>
      <c r="D108" s="81">
        <f t="shared" si="3"/>
        <v>6.9296109355269832E-3</v>
      </c>
      <c r="E108" s="81">
        <f t="shared" si="3"/>
        <v>-7.2587882360710156E-3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E3FEE-E31D-4568-AF28-37030AB06520}">
  <dimension ref="A1:C25"/>
  <sheetViews>
    <sheetView showGridLines="0" zoomScaleNormal="100" workbookViewId="0"/>
  </sheetViews>
  <sheetFormatPr defaultColWidth="8.6640625" defaultRowHeight="13.8" x14ac:dyDescent="0.3"/>
  <cols>
    <col min="1" max="1" width="70" style="50" customWidth="1"/>
    <col min="2" max="2" width="14" style="50" customWidth="1"/>
    <col min="3" max="3" width="50" style="50" customWidth="1"/>
    <col min="4" max="16384" width="8.6640625" style="50"/>
  </cols>
  <sheetData>
    <row r="1" spans="1:3" ht="18" x14ac:dyDescent="0.35">
      <c r="A1" s="49" t="s">
        <v>770</v>
      </c>
    </row>
    <row r="2" spans="1:3" x14ac:dyDescent="0.3">
      <c r="A2" s="63" t="s">
        <v>771</v>
      </c>
      <c r="B2" s="96" t="str">
        <f>IF(COUNTIF(C4:C23,"FAIL")=0,"ALL CHECKS PASS","CHECK FAILURES: "&amp;COUNTIF(C4:C23,"FAIL"))</f>
        <v>ALL CHECKS PASS</v>
      </c>
    </row>
    <row r="3" spans="1:3" x14ac:dyDescent="0.3">
      <c r="B3" s="54"/>
    </row>
    <row r="4" spans="1:3" x14ac:dyDescent="0.3">
      <c r="A4" s="60" t="s">
        <v>772</v>
      </c>
      <c r="B4" s="81">
        <f>SUMPRODUCT(ABS(Hist!C10:H10-Hist!C25:H25))</f>
        <v>0</v>
      </c>
      <c r="C4" s="97" t="str">
        <f t="shared" ref="C4:C22" si="0">IF(B4&lt;=0.01,"PASS","FAIL")</f>
        <v>PASS</v>
      </c>
    </row>
    <row r="5" spans="1:3" x14ac:dyDescent="0.3">
      <c r="A5" s="60" t="s">
        <v>773</v>
      </c>
      <c r="B5" s="81">
        <f>SUMPRODUCT(ABS(Hist!C21:H21-Hist!C26:H26))</f>
        <v>3.865352482534945E-12</v>
      </c>
      <c r="C5" s="97" t="str">
        <f t="shared" si="0"/>
        <v>PASS</v>
      </c>
    </row>
    <row r="6" spans="1:3" x14ac:dyDescent="0.3">
      <c r="A6" s="60" t="s">
        <v>774</v>
      </c>
      <c r="B6" s="81">
        <f>SUMPRODUCT(ABS(Hist!C23:H23-Hist!C24:H24))</f>
        <v>1.000000040676241E-4</v>
      </c>
      <c r="C6" s="97" t="str">
        <f t="shared" si="0"/>
        <v>PASS</v>
      </c>
    </row>
    <row r="7" spans="1:3" x14ac:dyDescent="0.3">
      <c r="A7" s="60" t="s">
        <v>775</v>
      </c>
      <c r="B7" s="81">
        <f>SUMPRODUCT(ABS(Hist!C35:H35-Hist!C43:H43))</f>
        <v>1.4551915228366852E-11</v>
      </c>
      <c r="C7" s="97" t="str">
        <f t="shared" si="0"/>
        <v>PASS</v>
      </c>
    </row>
    <row r="8" spans="1:3" x14ac:dyDescent="0.3">
      <c r="A8" s="60" t="s">
        <v>776</v>
      </c>
      <c r="B8" s="81">
        <f>SUMPRODUCT(ABS(Hist!C43:H43-Hist!C44:H44))</f>
        <v>1.4551915228366852E-11</v>
      </c>
      <c r="C8" s="97" t="str">
        <f t="shared" si="0"/>
        <v>PASS</v>
      </c>
    </row>
    <row r="9" spans="1:3" x14ac:dyDescent="0.3">
      <c r="A9" s="60" t="s">
        <v>777</v>
      </c>
      <c r="B9" s="81">
        <f>MAX(ABS(Hist!D58-Hist!D60),ABS(Hist!E58-Hist!E60),ABS(Hist!F58-Hist!F60),ABS(Hist!G58-Hist!G60),ABS(Hist!H58-Hist!H60))</f>
        <v>3.7571466404984211E-5</v>
      </c>
      <c r="C9" s="97" t="str">
        <f t="shared" si="0"/>
        <v>PASS</v>
      </c>
    </row>
    <row r="10" spans="1:3" x14ac:dyDescent="0.3">
      <c r="A10" s="60" t="s">
        <v>778</v>
      </c>
      <c r="B10" s="81">
        <f>ABS(Model!E18-140327)</f>
        <v>0</v>
      </c>
      <c r="C10" s="97" t="str">
        <f t="shared" si="0"/>
        <v>PASS</v>
      </c>
    </row>
    <row r="11" spans="1:3" x14ac:dyDescent="0.3">
      <c r="A11" s="60" t="s">
        <v>779</v>
      </c>
      <c r="B11" s="81">
        <f>ABS(Model!E70-Hist!H23)</f>
        <v>0</v>
      </c>
      <c r="C11" s="97" t="str">
        <f t="shared" si="0"/>
        <v>PASS</v>
      </c>
    </row>
    <row r="12" spans="1:3" x14ac:dyDescent="0.3">
      <c r="A12" s="60" t="s">
        <v>780</v>
      </c>
      <c r="B12" s="81">
        <f>SUMPRODUCT(ABS(Model!C44:J44))</f>
        <v>0</v>
      </c>
      <c r="C12" s="97" t="str">
        <f t="shared" si="0"/>
        <v>PASS</v>
      </c>
    </row>
    <row r="13" spans="1:3" x14ac:dyDescent="0.3">
      <c r="A13" s="60" t="s">
        <v>781</v>
      </c>
      <c r="B13" s="81">
        <f>SUMPRODUCT(ABS(Model!F80:J80-Model!F81:J81-Model!F82:J82))</f>
        <v>0</v>
      </c>
      <c r="C13" s="97" t="str">
        <f t="shared" si="0"/>
        <v>PASS</v>
      </c>
    </row>
    <row r="14" spans="1:3" x14ac:dyDescent="0.3">
      <c r="A14" s="60" t="s">
        <v>782</v>
      </c>
      <c r="B14" s="81">
        <f>SUMPRODUCT(ABS((Model!F82:J82-Model!E82:I82)-(Model!F77:J77+Model!F78:J78-(Model!F81:J81-Model!E81:I81))-(Model!F70:J70-Model!F76:J76)))</f>
        <v>5.9117155615240335E-12</v>
      </c>
      <c r="C14" s="97" t="str">
        <f t="shared" si="0"/>
        <v>PASS</v>
      </c>
    </row>
    <row r="15" spans="1:3" x14ac:dyDescent="0.3">
      <c r="A15" s="60" t="s">
        <v>783</v>
      </c>
      <c r="B15" s="81">
        <f>SUMPRODUCT(ABS(Model!F83:J83-Model!E83:I83-Inputs!C159:G159-Inputs!C164:G164/(Inputs!C169:G169*Model!E84:I84)))</f>
        <v>2.8310687127941492E-14</v>
      </c>
      <c r="C15" s="97" t="str">
        <f t="shared" si="0"/>
        <v>PASS</v>
      </c>
    </row>
    <row r="16" spans="1:3" x14ac:dyDescent="0.3">
      <c r="A16" s="60" t="s">
        <v>784</v>
      </c>
      <c r="B16" s="81">
        <f>SUMPRODUCT((Model!C99:J99&gt;Model!C100:J100)+(Model!C93:J93&gt;Model!C92:J92))</f>
        <v>0</v>
      </c>
      <c r="C16" s="97" t="str">
        <f t="shared" si="0"/>
        <v>PASS</v>
      </c>
    </row>
    <row r="17" spans="1:3" x14ac:dyDescent="0.3">
      <c r="A17" s="60" t="s">
        <v>785</v>
      </c>
      <c r="B17" s="81">
        <f>SUMPRODUCT(--(Model!F104:J104&lt;0))</f>
        <v>0</v>
      </c>
      <c r="C17" s="97" t="str">
        <f t="shared" si="0"/>
        <v>PASS</v>
      </c>
    </row>
    <row r="18" spans="1:3" x14ac:dyDescent="0.3">
      <c r="A18" s="60" t="s">
        <v>786</v>
      </c>
      <c r="B18" s="81">
        <f>SUMPRODUCT(--(Model!F105:J105&lt;0))</f>
        <v>0</v>
      </c>
      <c r="C18" s="97" t="str">
        <f t="shared" si="0"/>
        <v>PASS</v>
      </c>
    </row>
    <row r="19" spans="1:3" x14ac:dyDescent="0.3">
      <c r="A19" s="60" t="s">
        <v>787</v>
      </c>
      <c r="B19" s="81">
        <f>SUMPRODUCT(--(Model!F47:J47&lt;Inputs!C36))</f>
        <v>0</v>
      </c>
      <c r="C19" s="97" t="str">
        <f t="shared" si="0"/>
        <v>PASS</v>
      </c>
    </row>
    <row r="20" spans="1:3" x14ac:dyDescent="0.3">
      <c r="A20" s="60" t="s">
        <v>788</v>
      </c>
      <c r="B20" s="81">
        <f>SUMPRODUCT(--(Model!F26:J26&gt;Inputs!C37))</f>
        <v>0</v>
      </c>
      <c r="C20" s="97" t="str">
        <f t="shared" si="0"/>
        <v>PASS</v>
      </c>
    </row>
    <row r="21" spans="1:3" x14ac:dyDescent="0.3">
      <c r="A21" s="60" t="s">
        <v>789</v>
      </c>
      <c r="B21" s="81">
        <f>IF(Valuation!B5&gt;Valuation!B6,0,1)</f>
        <v>0</v>
      </c>
      <c r="C21" s="97" t="str">
        <f t="shared" si="0"/>
        <v>PASS</v>
      </c>
    </row>
    <row r="22" spans="1:3" x14ac:dyDescent="0.3">
      <c r="A22" s="60" t="s">
        <v>790</v>
      </c>
      <c r="B22" s="81">
        <f>SUMPRODUCT((Valuation!H25:Q25&lt;0)+(Valuation!H25:Q25&gt;1))</f>
        <v>0</v>
      </c>
      <c r="C22" s="97" t="str">
        <f t="shared" si="0"/>
        <v>PASS</v>
      </c>
    </row>
    <row r="23" spans="1:3" x14ac:dyDescent="0.3">
      <c r="A23" s="60" t="s">
        <v>834</v>
      </c>
      <c r="B23" s="81">
        <f>IFERROR(ABS(INDEX(Valuation!C72:I72,MATCH(Valuation!B7,Valuation!C67:I67,0))-Valuation!B36),0)</f>
        <v>0</v>
      </c>
      <c r="C23" s="97" t="str">
        <f>IF(B23&lt;=0.01,"PASS","FAIL")</f>
        <v>PASS</v>
      </c>
    </row>
    <row r="25" spans="1:3" x14ac:dyDescent="0.3">
      <c r="A25" s="54"/>
    </row>
  </sheetData>
  <conditionalFormatting sqref="C4:C23">
    <cfRule type="containsText" dxfId="1" priority="1" operator="containsText" text="FAIL">
      <formula>NOT(ISERROR(SEARCH("FAIL",C4)))</formula>
    </cfRule>
    <cfRule type="containsText" dxfId="0" priority="2" operator="containsText" text="PASS">
      <formula>NOT(ISERROR(SEARCH("PASS",C4)))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3C4B-7279-4C1F-924D-9AE0405154D9}">
  <dimension ref="A1:B25"/>
  <sheetViews>
    <sheetView showGridLines="0" zoomScaleNormal="100" workbookViewId="0"/>
  </sheetViews>
  <sheetFormatPr defaultColWidth="8.6640625" defaultRowHeight="13.8" x14ac:dyDescent="0.3"/>
  <cols>
    <col min="1" max="1" width="34" style="50" customWidth="1"/>
    <col min="2" max="2" width="109.6640625" style="50" customWidth="1"/>
    <col min="3" max="16384" width="8.6640625" style="50"/>
  </cols>
  <sheetData>
    <row r="1" spans="1:2" ht="18" x14ac:dyDescent="0.35">
      <c r="A1" s="49" t="s">
        <v>833</v>
      </c>
    </row>
    <row r="3" spans="1:2" x14ac:dyDescent="0.3">
      <c r="A3" s="52" t="s">
        <v>349</v>
      </c>
      <c r="B3" s="53" t="s">
        <v>791</v>
      </c>
    </row>
    <row r="4" spans="1:2" x14ac:dyDescent="0.3">
      <c r="A4" s="5" t="s">
        <v>162</v>
      </c>
      <c r="B4" s="4" t="s">
        <v>792</v>
      </c>
    </row>
    <row r="5" spans="1:2" x14ac:dyDescent="0.3">
      <c r="A5" s="5" t="s">
        <v>793</v>
      </c>
      <c r="B5" s="4" t="s">
        <v>794</v>
      </c>
    </row>
    <row r="6" spans="1:2" x14ac:dyDescent="0.3">
      <c r="A6" s="5" t="s">
        <v>795</v>
      </c>
      <c r="B6" s="4" t="s">
        <v>796</v>
      </c>
    </row>
    <row r="7" spans="1:2" x14ac:dyDescent="0.3">
      <c r="A7" s="5" t="s">
        <v>797</v>
      </c>
      <c r="B7" s="4" t="s">
        <v>798</v>
      </c>
    </row>
    <row r="8" spans="1:2" x14ac:dyDescent="0.3">
      <c r="A8" s="5" t="s">
        <v>799</v>
      </c>
      <c r="B8" s="4" t="s">
        <v>800</v>
      </c>
    </row>
    <row r="9" spans="1:2" x14ac:dyDescent="0.3">
      <c r="A9" s="5" t="s">
        <v>801</v>
      </c>
      <c r="B9" s="4" t="s">
        <v>802</v>
      </c>
    </row>
    <row r="10" spans="1:2" x14ac:dyDescent="0.3">
      <c r="A10" s="5" t="s">
        <v>803</v>
      </c>
      <c r="B10" s="4" t="s">
        <v>804</v>
      </c>
    </row>
    <row r="11" spans="1:2" x14ac:dyDescent="0.3">
      <c r="A11" s="5" t="s">
        <v>276</v>
      </c>
      <c r="B11" s="4" t="s">
        <v>805</v>
      </c>
    </row>
    <row r="12" spans="1:2" x14ac:dyDescent="0.3">
      <c r="A12" s="5" t="s">
        <v>806</v>
      </c>
      <c r="B12" s="4" t="s">
        <v>807</v>
      </c>
    </row>
    <row r="13" spans="1:2" x14ac:dyDescent="0.3">
      <c r="A13" s="5" t="s">
        <v>808</v>
      </c>
      <c r="B13" s="4" t="s">
        <v>809</v>
      </c>
    </row>
    <row r="14" spans="1:2" x14ac:dyDescent="0.3">
      <c r="A14" s="5" t="s">
        <v>810</v>
      </c>
      <c r="B14" s="4" t="s">
        <v>811</v>
      </c>
    </row>
    <row r="15" spans="1:2" x14ac:dyDescent="0.3">
      <c r="A15" s="5" t="s">
        <v>482</v>
      </c>
      <c r="B15" s="4" t="s">
        <v>812</v>
      </c>
    </row>
    <row r="16" spans="1:2" x14ac:dyDescent="0.3">
      <c r="A16" s="5" t="s">
        <v>326</v>
      </c>
      <c r="B16" s="4" t="s">
        <v>813</v>
      </c>
    </row>
    <row r="17" spans="1:2" ht="27.6" x14ac:dyDescent="0.3">
      <c r="A17" s="5" t="s">
        <v>814</v>
      </c>
      <c r="B17" s="4" t="s">
        <v>815</v>
      </c>
    </row>
    <row r="18" spans="1:2" x14ac:dyDescent="0.3">
      <c r="A18" s="5" t="s">
        <v>816</v>
      </c>
      <c r="B18" s="4" t="s">
        <v>817</v>
      </c>
    </row>
    <row r="19" spans="1:2" x14ac:dyDescent="0.3">
      <c r="A19" s="5" t="s">
        <v>818</v>
      </c>
      <c r="B19" s="4" t="s">
        <v>135</v>
      </c>
    </row>
    <row r="20" spans="1:2" x14ac:dyDescent="0.3">
      <c r="A20" s="5" t="s">
        <v>819</v>
      </c>
      <c r="B20" s="4" t="s">
        <v>820</v>
      </c>
    </row>
    <row r="21" spans="1:2" x14ac:dyDescent="0.3">
      <c r="A21" s="5" t="s">
        <v>97</v>
      </c>
      <c r="B21" s="4" t="s">
        <v>821</v>
      </c>
    </row>
    <row r="22" spans="1:2" x14ac:dyDescent="0.3">
      <c r="A22" s="5" t="s">
        <v>822</v>
      </c>
      <c r="B22" s="4" t="s">
        <v>823</v>
      </c>
    </row>
    <row r="23" spans="1:2" x14ac:dyDescent="0.3">
      <c r="A23" s="5" t="s">
        <v>824</v>
      </c>
      <c r="B23" s="4" t="s">
        <v>825</v>
      </c>
    </row>
    <row r="24" spans="1:2" x14ac:dyDescent="0.3">
      <c r="A24" s="5" t="s">
        <v>826</v>
      </c>
      <c r="B24" s="4" t="s">
        <v>827</v>
      </c>
    </row>
    <row r="25" spans="1:2" x14ac:dyDescent="0.3">
      <c r="A25" s="5" t="s">
        <v>828</v>
      </c>
      <c r="B25" s="4" t="s">
        <v>829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0858-5728-48DB-B1CD-C3A70F4572E1}">
  <dimension ref="A1:H23"/>
  <sheetViews>
    <sheetView showGridLines="0" zoomScaleNormal="100" workbookViewId="0"/>
  </sheetViews>
  <sheetFormatPr defaultColWidth="8.6640625" defaultRowHeight="13.8" x14ac:dyDescent="0.3"/>
  <cols>
    <col min="1" max="1" width="7" style="17" customWidth="1"/>
    <col min="2" max="2" width="46" style="17" customWidth="1"/>
    <col min="3" max="3" width="20" style="17" customWidth="1"/>
    <col min="4" max="4" width="21.88671875" style="17" customWidth="1"/>
    <col min="5" max="5" width="38.44140625" style="17" customWidth="1"/>
    <col min="6" max="6" width="60" style="17" customWidth="1"/>
    <col min="7" max="7" width="16" style="17" customWidth="1"/>
    <col min="8" max="8" width="26" style="17" customWidth="1"/>
    <col min="9" max="16384" width="8.6640625" style="17"/>
  </cols>
  <sheetData>
    <row r="1" spans="1:8" ht="18" x14ac:dyDescent="0.3">
      <c r="A1" s="8" t="s">
        <v>845</v>
      </c>
    </row>
    <row r="3" spans="1:8" x14ac:dyDescent="0.3">
      <c r="A3" s="100" t="s">
        <v>641</v>
      </c>
      <c r="B3" s="101" t="s">
        <v>642</v>
      </c>
      <c r="C3" s="101" t="s">
        <v>643</v>
      </c>
      <c r="D3" s="101" t="s">
        <v>644</v>
      </c>
      <c r="E3" s="101" t="s">
        <v>645</v>
      </c>
      <c r="F3" s="101" t="s">
        <v>646</v>
      </c>
      <c r="G3" s="101" t="s">
        <v>647</v>
      </c>
      <c r="H3" s="101" t="s">
        <v>648</v>
      </c>
    </row>
    <row r="4" spans="1:8" ht="41.4" x14ac:dyDescent="0.3">
      <c r="A4" s="102" t="s">
        <v>649</v>
      </c>
      <c r="B4" s="102" t="s">
        <v>650</v>
      </c>
      <c r="C4" s="102" t="s">
        <v>651</v>
      </c>
      <c r="D4" s="102" t="s">
        <v>652</v>
      </c>
      <c r="E4" s="102" t="s">
        <v>653</v>
      </c>
      <c r="F4" s="102" t="s">
        <v>654</v>
      </c>
      <c r="G4" s="102" t="s">
        <v>655</v>
      </c>
      <c r="H4" s="102" t="s">
        <v>656</v>
      </c>
    </row>
    <row r="5" spans="1:8" ht="27.6" x14ac:dyDescent="0.3">
      <c r="A5" s="102" t="s">
        <v>657</v>
      </c>
      <c r="B5" s="102" t="s">
        <v>658</v>
      </c>
      <c r="C5" s="102" t="s">
        <v>357</v>
      </c>
      <c r="D5" s="102" t="s">
        <v>652</v>
      </c>
      <c r="E5" s="102" t="s">
        <v>659</v>
      </c>
      <c r="F5" s="102" t="s">
        <v>660</v>
      </c>
      <c r="G5" s="102" t="s">
        <v>661</v>
      </c>
      <c r="H5" s="102" t="s">
        <v>662</v>
      </c>
    </row>
    <row r="6" spans="1:8" ht="27.6" x14ac:dyDescent="0.3">
      <c r="A6" s="102" t="s">
        <v>663</v>
      </c>
      <c r="B6" s="102" t="s">
        <v>664</v>
      </c>
      <c r="C6" s="102" t="s">
        <v>665</v>
      </c>
      <c r="D6" s="102" t="s">
        <v>666</v>
      </c>
      <c r="E6" s="102" t="s">
        <v>667</v>
      </c>
      <c r="F6" s="102" t="s">
        <v>668</v>
      </c>
      <c r="G6" s="102" t="s">
        <v>655</v>
      </c>
      <c r="H6" s="102" t="s">
        <v>669</v>
      </c>
    </row>
    <row r="7" spans="1:8" ht="27.6" x14ac:dyDescent="0.3">
      <c r="A7" s="102" t="s">
        <v>670</v>
      </c>
      <c r="B7" s="102" t="s">
        <v>671</v>
      </c>
      <c r="C7" s="102" t="s">
        <v>672</v>
      </c>
      <c r="D7" s="102" t="s">
        <v>673</v>
      </c>
      <c r="E7" s="102" t="s">
        <v>674</v>
      </c>
      <c r="F7" s="102" t="s">
        <v>675</v>
      </c>
      <c r="G7" s="102" t="s">
        <v>655</v>
      </c>
      <c r="H7" s="102" t="s">
        <v>676</v>
      </c>
    </row>
    <row r="8" spans="1:8" ht="69" x14ac:dyDescent="0.3">
      <c r="A8" s="102" t="s">
        <v>677</v>
      </c>
      <c r="B8" s="102" t="s">
        <v>678</v>
      </c>
      <c r="C8" s="102" t="s">
        <v>679</v>
      </c>
      <c r="D8" s="102" t="s">
        <v>680</v>
      </c>
      <c r="E8" s="102" t="s">
        <v>681</v>
      </c>
      <c r="F8" s="102" t="s">
        <v>682</v>
      </c>
      <c r="G8" s="102" t="s">
        <v>661</v>
      </c>
      <c r="H8" s="102" t="s">
        <v>683</v>
      </c>
    </row>
    <row r="9" spans="1:8" ht="27.6" x14ac:dyDescent="0.3">
      <c r="A9" s="102" t="s">
        <v>684</v>
      </c>
      <c r="B9" s="102" t="s">
        <v>685</v>
      </c>
      <c r="C9" s="102" t="s">
        <v>686</v>
      </c>
      <c r="D9" s="102" t="s">
        <v>687</v>
      </c>
      <c r="E9" s="102" t="s">
        <v>688</v>
      </c>
      <c r="F9" s="102" t="s">
        <v>689</v>
      </c>
      <c r="G9" s="102" t="s">
        <v>690</v>
      </c>
      <c r="H9" s="102" t="s">
        <v>691</v>
      </c>
    </row>
    <row r="10" spans="1:8" ht="55.2" x14ac:dyDescent="0.3">
      <c r="A10" s="102" t="s">
        <v>692</v>
      </c>
      <c r="B10" s="102" t="s">
        <v>693</v>
      </c>
      <c r="C10" s="102" t="s">
        <v>694</v>
      </c>
      <c r="D10" s="102" t="s">
        <v>695</v>
      </c>
      <c r="E10" s="102" t="s">
        <v>696</v>
      </c>
      <c r="F10" s="102" t="s">
        <v>697</v>
      </c>
      <c r="G10" s="102" t="s">
        <v>655</v>
      </c>
      <c r="H10" s="102" t="s">
        <v>698</v>
      </c>
    </row>
    <row r="11" spans="1:8" ht="27.6" x14ac:dyDescent="0.3">
      <c r="A11" s="102" t="s">
        <v>699</v>
      </c>
      <c r="B11" s="102" t="s">
        <v>700</v>
      </c>
      <c r="C11" s="102" t="s">
        <v>701</v>
      </c>
      <c r="D11" s="102" t="s">
        <v>652</v>
      </c>
      <c r="E11" s="102" t="s">
        <v>702</v>
      </c>
      <c r="F11" s="102" t="s">
        <v>703</v>
      </c>
      <c r="G11" s="102" t="s">
        <v>690</v>
      </c>
      <c r="H11" s="102" t="s">
        <v>704</v>
      </c>
    </row>
    <row r="12" spans="1:8" ht="55.2" x14ac:dyDescent="0.3">
      <c r="A12" s="102" t="s">
        <v>705</v>
      </c>
      <c r="B12" s="102" t="s">
        <v>706</v>
      </c>
      <c r="C12" s="102" t="s">
        <v>701</v>
      </c>
      <c r="D12" s="102" t="s">
        <v>652</v>
      </c>
      <c r="E12" s="102" t="s">
        <v>707</v>
      </c>
      <c r="F12" s="102" t="s">
        <v>708</v>
      </c>
      <c r="G12" s="102" t="s">
        <v>690</v>
      </c>
      <c r="H12" s="102" t="s">
        <v>709</v>
      </c>
    </row>
    <row r="13" spans="1:8" ht="69" x14ac:dyDescent="0.3">
      <c r="A13" s="102" t="s">
        <v>710</v>
      </c>
      <c r="B13" s="102" t="s">
        <v>711</v>
      </c>
      <c r="C13" s="102" t="s">
        <v>712</v>
      </c>
      <c r="D13" s="103" t="s">
        <v>846</v>
      </c>
      <c r="E13" s="102" t="s">
        <v>713</v>
      </c>
      <c r="F13" s="102" t="s">
        <v>714</v>
      </c>
      <c r="G13" s="102" t="s">
        <v>393</v>
      </c>
      <c r="H13" s="102" t="s">
        <v>715</v>
      </c>
    </row>
    <row r="14" spans="1:8" ht="41.4" x14ac:dyDescent="0.3">
      <c r="A14" s="102" t="s">
        <v>716</v>
      </c>
      <c r="B14" s="102" t="s">
        <v>717</v>
      </c>
      <c r="C14" s="102" t="s">
        <v>718</v>
      </c>
      <c r="D14" s="102" t="s">
        <v>666</v>
      </c>
      <c r="E14" s="102" t="s">
        <v>719</v>
      </c>
      <c r="F14" s="102" t="s">
        <v>720</v>
      </c>
      <c r="G14" s="102" t="s">
        <v>690</v>
      </c>
      <c r="H14" s="102" t="s">
        <v>721</v>
      </c>
    </row>
    <row r="15" spans="1:8" ht="55.2" x14ac:dyDescent="0.3">
      <c r="A15" s="102" t="s">
        <v>722</v>
      </c>
      <c r="B15" s="102" t="s">
        <v>723</v>
      </c>
      <c r="C15" s="102" t="s">
        <v>724</v>
      </c>
      <c r="D15" s="102" t="s">
        <v>725</v>
      </c>
      <c r="E15" s="102" t="s">
        <v>726</v>
      </c>
      <c r="F15" s="102" t="s">
        <v>727</v>
      </c>
      <c r="G15" s="102" t="s">
        <v>690</v>
      </c>
      <c r="H15" s="102" t="s">
        <v>728</v>
      </c>
    </row>
    <row r="16" spans="1:8" ht="69" x14ac:dyDescent="0.3">
      <c r="A16" s="102" t="s">
        <v>729</v>
      </c>
      <c r="B16" s="102" t="s">
        <v>730</v>
      </c>
      <c r="C16" s="102" t="s">
        <v>731</v>
      </c>
      <c r="D16" s="102" t="s">
        <v>732</v>
      </c>
      <c r="E16" s="102" t="s">
        <v>733</v>
      </c>
      <c r="F16" s="102" t="s">
        <v>734</v>
      </c>
      <c r="G16" s="102" t="s">
        <v>655</v>
      </c>
      <c r="H16" s="102" t="s">
        <v>735</v>
      </c>
    </row>
    <row r="17" spans="1:8" ht="41.4" x14ac:dyDescent="0.3">
      <c r="A17" s="102" t="s">
        <v>736</v>
      </c>
      <c r="B17" s="102" t="s">
        <v>737</v>
      </c>
      <c r="C17" s="102" t="s">
        <v>393</v>
      </c>
      <c r="D17" s="102" t="s">
        <v>738</v>
      </c>
      <c r="E17" s="102" t="s">
        <v>739</v>
      </c>
      <c r="F17" s="102" t="s">
        <v>740</v>
      </c>
      <c r="G17" s="102" t="s">
        <v>393</v>
      </c>
      <c r="H17" s="102" t="s">
        <v>741</v>
      </c>
    </row>
    <row r="18" spans="1:8" ht="28.8" x14ac:dyDescent="0.3">
      <c r="A18" s="102" t="s">
        <v>742</v>
      </c>
      <c r="B18" s="102" t="s">
        <v>743</v>
      </c>
      <c r="C18" s="102" t="s">
        <v>744</v>
      </c>
      <c r="D18" s="102" t="s">
        <v>745</v>
      </c>
      <c r="E18" s="102" t="s">
        <v>746</v>
      </c>
      <c r="F18" s="104" t="s">
        <v>847</v>
      </c>
      <c r="G18" s="102" t="s">
        <v>747</v>
      </c>
      <c r="H18" s="102" t="s">
        <v>748</v>
      </c>
    </row>
    <row r="19" spans="1:8" ht="27.6" x14ac:dyDescent="0.3">
      <c r="A19" s="102" t="s">
        <v>749</v>
      </c>
      <c r="B19" s="102" t="s">
        <v>750</v>
      </c>
      <c r="C19" s="102" t="s">
        <v>751</v>
      </c>
      <c r="D19" s="102" t="s">
        <v>745</v>
      </c>
      <c r="E19" s="102" t="s">
        <v>752</v>
      </c>
      <c r="F19" s="105" t="s">
        <v>848</v>
      </c>
      <c r="G19" s="102" t="s">
        <v>753</v>
      </c>
      <c r="H19" s="102" t="s">
        <v>754</v>
      </c>
    </row>
    <row r="20" spans="1:8" ht="27.6" customHeight="1" x14ac:dyDescent="0.3">
      <c r="A20" s="102" t="s">
        <v>755</v>
      </c>
      <c r="B20" s="102" t="s">
        <v>852</v>
      </c>
      <c r="C20" s="102" t="s">
        <v>756</v>
      </c>
      <c r="D20" s="102" t="s">
        <v>757</v>
      </c>
      <c r="E20" s="102" t="s">
        <v>853</v>
      </c>
      <c r="F20" s="108" t="s">
        <v>849</v>
      </c>
      <c r="G20" s="102" t="s">
        <v>661</v>
      </c>
      <c r="H20" s="102" t="s">
        <v>758</v>
      </c>
    </row>
    <row r="21" spans="1:8" ht="55.2" x14ac:dyDescent="0.3">
      <c r="A21" s="102" t="s">
        <v>759</v>
      </c>
      <c r="B21" s="102" t="s">
        <v>760</v>
      </c>
      <c r="C21" s="102" t="s">
        <v>761</v>
      </c>
      <c r="D21" s="102" t="s">
        <v>762</v>
      </c>
      <c r="E21" s="102" t="s">
        <v>763</v>
      </c>
      <c r="F21" s="109" t="s">
        <v>850</v>
      </c>
      <c r="G21" s="102" t="s">
        <v>764</v>
      </c>
      <c r="H21" s="102" t="s">
        <v>765</v>
      </c>
    </row>
    <row r="22" spans="1:8" ht="41.4" x14ac:dyDescent="0.3">
      <c r="A22" s="102" t="s">
        <v>766</v>
      </c>
      <c r="B22" s="102" t="s">
        <v>767</v>
      </c>
      <c r="C22" s="102" t="s">
        <v>393</v>
      </c>
      <c r="D22" s="102" t="s">
        <v>854</v>
      </c>
      <c r="E22" s="102" t="s">
        <v>768</v>
      </c>
      <c r="F22" s="109" t="s">
        <v>851</v>
      </c>
      <c r="G22" s="102" t="s">
        <v>165</v>
      </c>
      <c r="H22" s="102" t="s">
        <v>769</v>
      </c>
    </row>
    <row r="23" spans="1:8" s="110" customFormat="1" ht="41.4" x14ac:dyDescent="0.3">
      <c r="A23" s="109" t="s">
        <v>858</v>
      </c>
      <c r="B23" s="109" t="s">
        <v>859</v>
      </c>
      <c r="C23" s="109" t="s">
        <v>860</v>
      </c>
      <c r="D23" s="109" t="s">
        <v>861</v>
      </c>
      <c r="E23" s="109" t="s">
        <v>862</v>
      </c>
      <c r="F23" s="109" t="s">
        <v>863</v>
      </c>
      <c r="G23" s="109" t="s">
        <v>864</v>
      </c>
      <c r="H23" s="109" t="s">
        <v>865</v>
      </c>
    </row>
  </sheetData>
  <autoFilter ref="A3:H22" xr:uid="{643C0858-5728-48DB-B1CD-C3A70F4572E1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Inputs</vt:lpstr>
      <vt:lpstr>Model</vt:lpstr>
      <vt:lpstr>Valuation</vt:lpstr>
      <vt:lpstr>Hist</vt:lpstr>
      <vt:lpstr>Peers</vt:lpstr>
      <vt:lpstr>Beta</vt:lpstr>
      <vt:lpstr>Checks</vt:lpstr>
      <vt:lpstr>DataDict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Khadsinge</dc:creator>
  <cp:lastModifiedBy>Akshay Khadsinge</cp:lastModifiedBy>
  <dcterms:created xsi:type="dcterms:W3CDTF">2015-06-05T18:17:20Z</dcterms:created>
  <dcterms:modified xsi:type="dcterms:W3CDTF">2026-10-04T16:18:11Z</dcterms:modified>
</cp:coreProperties>
</file>